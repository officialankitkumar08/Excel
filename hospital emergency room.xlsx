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89A93303-E929-44D4-9E3E-2013CFD8FB9B}" xr6:coauthVersionLast="47" xr6:coauthVersionMax="47" xr10:uidLastSave="{00000000-0000-0000-0000-000000000000}"/>
  <bookViews>
    <workbookView xWindow="-110" yWindow="-110" windowWidth="19420" windowHeight="10300" activeTab="1" xr2:uid="{5E72C99F-07F0-49DD-B5B5-3A16E0099E62}"/>
  </bookViews>
  <sheets>
    <sheet name="Pivot Report" sheetId="1" r:id="rId1"/>
    <sheet name="Dashboard" sheetId="2" r:id="rId2"/>
    <sheet name="satisfation" sheetId="6" r:id="rId3"/>
    <sheet name="wait time" sheetId="5" r:id="rId4"/>
    <sheet name="no of patient" sheetId="3" r:id="rId5"/>
  </sheets>
  <definedNames>
    <definedName name="Slicer_date__Month">#N/A</definedName>
    <definedName name="Slicer_date__Year">#N/A</definedName>
  </definedNames>
  <calcPr calcId="191029"/>
  <pivotCaches>
    <pivotCache cacheId="1073" r:id="rId6"/>
    <pivotCache cacheId="1076" r:id="rId7"/>
    <pivotCache cacheId="1079" r:id="rId8"/>
    <pivotCache cacheId="1082" r:id="rId9"/>
    <pivotCache cacheId="1085" r:id="rId10"/>
    <pivotCache cacheId="1088" r:id="rId11"/>
    <pivotCache cacheId="1091" r:id="rId12"/>
    <pivotCache cacheId="1094" r:id="rId13"/>
    <pivotCache cacheId="1097" r:id="rId14"/>
    <pivotCache cacheId="1100" r:id="rId15"/>
    <pivotCache cacheId="1103" r:id="rId16"/>
    <pivotCache cacheId="1106" r:id="rId17"/>
    <pivotCache cacheId="1124" r:id="rId18"/>
  </pivotCaches>
  <extLst>
    <ext xmlns:x14="http://schemas.microsoft.com/office/spreadsheetml/2009/9/main" uri="{876F7934-8845-4945-9796-88D515C7AA90}">
      <x14:pivotCaches>
        <pivotCache cacheId="44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d1ab8c8e-0358-499e-a430-55a5ff351fa0" name="calendar_table" connection="Query - calendar_table"/>
          <x15:modelTable id="Hospital Emergency Room Data_cacbc689-d4d0-4d13-a540-845a40487e03" name="Hospital Emergency Room Data" connection="Query - Hospital Emergency Room Data"/>
        </x15:modelTables>
        <x15:modelRelationships>
          <x15:modelRelationship fromTable="Hospital Emergency Room Data" fromColumn="Patient Admission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6" i="1" l="1"/>
  <c r="C46" i="1"/>
  <c r="B45" i="1"/>
  <c r="C45" i="1"/>
  <c r="A46"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56203E-DB84-430C-86C8-305810D7DB2D}" name="Query - calendar_table" description="Connection to the 'calendar_table' query in the workbook." type="100" refreshedVersion="8" minRefreshableVersion="5">
    <extLst>
      <ext xmlns:x15="http://schemas.microsoft.com/office/spreadsheetml/2010/11/main" uri="{DE250136-89BD-433C-8126-D09CA5730AF9}">
        <x15:connection id="4940194e-b9fa-4156-8c14-181524301cec">
          <x15:oledbPr connection="Provider=Microsoft.Mashup.OleDb.1;Data Source=$Workbook$;Location=calendar_table;Extended Properties=&quot;&quot;">
            <x15:dbTables>
              <x15:dbTable name="calendar_table"/>
            </x15:dbTables>
          </x15:oledbPr>
        </x15:connection>
      </ext>
    </extLst>
  </connection>
  <connection id="2" xr16:uid="{BB989CF1-732C-415D-9ACF-ED0FCBD3D62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720ccd8-7538-4a6e-aef0-5ca2f71fa0b0"/>
      </ext>
    </extLst>
  </connection>
  <connection id="3" xr16:uid="{364E6F9D-93CB-4817-B869-C37B0E0E1DD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<sst xmlns="http://schemas.openxmlformats.org/spreadsheetml/2006/main" count="147" uniqueCount="69">
  <si>
    <t>Distinct Count of Patient Id</t>
  </si>
  <si>
    <t>Average of Patient Waittime</t>
  </si>
  <si>
    <t>Average of Patient Satisfaction Score</t>
  </si>
  <si>
    <t>Grand Total</t>
  </si>
  <si>
    <t>Row Labels</t>
  </si>
  <si>
    <t>Admitted</t>
  </si>
  <si>
    <t>Not Admitted</t>
  </si>
  <si>
    <t>Count of Patient Admission Flag</t>
  </si>
  <si>
    <t>Count of Patient Admission Flag2</t>
  </si>
  <si>
    <t>Admission Status</t>
  </si>
  <si>
    <t>% Status</t>
  </si>
  <si>
    <t>Chart</t>
  </si>
  <si>
    <t>Patient</t>
  </si>
  <si>
    <t>Count of Age Group</t>
  </si>
  <si>
    <t>0-09</t>
  </si>
  <si>
    <t>10-19</t>
  </si>
  <si>
    <t>20-29</t>
  </si>
  <si>
    <t>30-39</t>
  </si>
  <si>
    <t>40-49</t>
  </si>
  <si>
    <t>50-59</t>
  </si>
  <si>
    <t>60-69</t>
  </si>
  <si>
    <t>70-79</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</si>
  <si>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</si>
  <si>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</si>
  <si>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</si>
  <si>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</si>
  <si>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</si>
  <si>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</si>
  <si>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</si>
  <si>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</si>
  <si>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</si>
  <si>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</si>
  <si>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</si>
  <si>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</si>
  <si>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</si>
  <si>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</si>
  <si>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</si>
  <si>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</si>
  <si>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</si>
  <si>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</si>
  <si>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</si>
  <si>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</si>
  <si>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</si>
  <si>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</si>
  <si>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</si>
  <si>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</si>
  <si>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</si>
  <si>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</si>
  <si>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</si>
  <si>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</si>
  <si>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</si>
  <si>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Delay</t>
  </si>
  <si>
    <t>On Time</t>
  </si>
  <si>
    <t>Count of Patient Attend Status</t>
  </si>
  <si>
    <t>Female</t>
  </si>
  <si>
    <t>Male</t>
  </si>
  <si>
    <t>Count of Patient Gender</t>
  </si>
  <si>
    <t>Count of Department Referral</t>
  </si>
  <si>
    <t>None</t>
  </si>
  <si>
    <t>Orthopedics</t>
  </si>
  <si>
    <t>General Practice</t>
  </si>
  <si>
    <t>Gastroenterology</t>
  </si>
  <si>
    <t>Physiotherapy</t>
  </si>
  <si>
    <t>Cardiology</t>
  </si>
  <si>
    <t>Neurology</t>
  </si>
  <si>
    <t>Renal</t>
  </si>
  <si>
    <t>Column Labels</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</si>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</sst>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7D8448"/>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2" fillId="3" borderId="0" xfId="0" applyFont="1" applyFill="1" applyAlignment="1">
      <alignment horizontal="left"/>
    </xf>
    <xf numFmtId="0" fontId="2" fillId="3" borderId="0" xfId="0" applyFont="1" applyFill="1"/>
    <xf numFmtId="0" fontId="0" fillId="4" borderId="0" xfId="0" applyFill="1"/>
    <xf numFmtId="10" fontId="0" fillId="4" borderId="0" xfId="1" applyNumberFormat="1" applyFont="1" applyFill="1"/>
  </cellXfs>
  <cellStyles count="2">
    <cellStyle name="Normal" xfId="0" builtinId="0"/>
    <cellStyle name="Percent" xfId="1" builtinId="5"/>
  </cellStyles>
  <dxfs count="37">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6"/>
        </bottom>
        <vertical/>
        <horizontal/>
      </border>
    </dxf>
    <dxf>
      <font>
        <sz val="8"/>
        <color theme="1"/>
      </font>
      <border diagonalUp="0" diagonalDown="0">
        <left/>
        <right/>
        <top/>
        <bottom/>
        <vertical/>
        <horizontal/>
      </border>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font>
        <color theme="1"/>
      </font>
      <fill>
        <patternFill>
          <fgColor theme="2" tint="-0.499984740745262"/>
          <bgColor theme="0"/>
        </patternFill>
      </fill>
      <border diagonalUp="0" diagonalDown="0">
        <left/>
        <right/>
        <top/>
        <bottom/>
        <vertical/>
        <horizontal/>
      </border>
    </dxf>
    <dxf>
      <font>
        <b/>
        <color theme="1"/>
      </font>
      <border>
        <bottom style="thin">
          <color theme="4"/>
        </bottom>
        <vertical/>
        <horizontal/>
      </border>
    </dxf>
    <dxf>
      <font>
        <b/>
        <i val="0"/>
        <sz val="10"/>
        <color rgb="FF7D8448"/>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my" pivot="0" table="0" count="10" xr9:uid="{59AFA6F7-1FE2-43FB-AFBE-54BBE787FB5D}">
      <tableStyleElement type="wholeTable" dxfId="19"/>
      <tableStyleElement type="headerRow" dxfId="18"/>
    </tableStyle>
    <tableStyle name="my style" pivot="0" table="0" count="10" xr9:uid="{0B246572-5331-4FF0-B35E-295754BF262A}">
      <tableStyleElement type="wholeTable" dxfId="36"/>
      <tableStyleElement type="headerRow" dxfId="35"/>
    </tableStyle>
    <tableStyle name="Slicer Style 1" pivot="0" table="0" count="1" xr9:uid="{AC492F5B-39EE-49A4-8818-B097785F47F8}">
      <tableStyleElement type="wholeTable" dxfId="34"/>
    </tableStyle>
  </tableStyles>
  <colors>
    <mruColors>
      <color rgb="FF538B29"/>
      <color rgb="FF7D844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6EDB9626-FFBD-475B-8BCE-CFA38DC116FF}" type="CELLRANGE">
                  <a:rPr lang="en-US"/>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CC691DAB-5719-4D5A-8F86-66E213BEC4CB}" type="CELLRANGE">
                  <a:rPr lang="en-US"/>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7710068677958473E-2"/>
          <c:y val="4.2878348843960717E-2"/>
          <c:w val="0.90200739193315105"/>
          <c:h val="0.89814814814814814"/>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224</c:v>
                </c:pt>
                <c:pt idx="1">
                  <c:v>207</c:v>
                </c:pt>
              </c:numCache>
            </c:numRef>
          </c:val>
          <c:extLst>
            <c:ext xmlns:c16="http://schemas.microsoft.com/office/drawing/2014/chart" uri="{C3380CC4-5D6E-409C-BE32-E72D297353CC}">
              <c16:uniqueId val="{00000005-4BA2-4ABC-9016-8C12D747E3FD}"/>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0.51972157772621808</c:v>
                </c:pt>
                <c:pt idx="1">
                  <c:v>0.48027842227378192</c:v>
                </c:pt>
              </c:numCache>
            </c:numRef>
          </c:val>
          <c:extLst>
            <c:ext xmlns:c16="http://schemas.microsoft.com/office/drawing/2014/chart" uri="{C3380CC4-5D6E-409C-BE32-E72D297353CC}">
              <c16:uniqueId val="{00000006-4BA2-4ABC-9016-8C12D747E3FD}"/>
            </c:ext>
          </c:extLst>
        </c:ser>
        <c:dLbls>
          <c:showLegendKey val="0"/>
          <c:showVal val="0"/>
          <c:showCatName val="0"/>
          <c:showSerName val="0"/>
          <c:showPercent val="0"/>
          <c:showBubbleSize val="0"/>
        </c:dLbls>
        <c:gapWidth val="39"/>
        <c:overlap val="84"/>
        <c:axId val="1997193312"/>
        <c:axId val="1997200512"/>
      </c:barChart>
      <c:catAx>
        <c:axId val="1997193312"/>
        <c:scaling>
          <c:orientation val="minMax"/>
        </c:scaling>
        <c:delete val="1"/>
        <c:axPos val="l"/>
        <c:numFmt formatCode="General" sourceLinked="1"/>
        <c:majorTickMark val="none"/>
        <c:minorTickMark val="none"/>
        <c:tickLblPos val="nextTo"/>
        <c:crossAx val="1997200512"/>
        <c:crosses val="autoZero"/>
        <c:auto val="1"/>
        <c:lblAlgn val="ctr"/>
        <c:lblOffset val="100"/>
        <c:noMultiLvlLbl val="0"/>
      </c:catAx>
      <c:valAx>
        <c:axId val="1997200512"/>
        <c:scaling>
          <c:orientation val="minMax"/>
        </c:scaling>
        <c:delete val="1"/>
        <c:axPos val="b"/>
        <c:numFmt formatCode="0" sourceLinked="1"/>
        <c:majorTickMark val="none"/>
        <c:minorTickMark val="none"/>
        <c:tickLblPos val="nextTo"/>
        <c:crossAx val="199719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041878379301467"/>
          <c:w val="0.96517413347746361"/>
          <c:h val="0.89958121620698539"/>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3-65EA-46A8-A772-A55C51F21916}"/>
            </c:ext>
          </c:extLst>
        </c:ser>
        <c:dLbls>
          <c:showLegendKey val="0"/>
          <c:showVal val="0"/>
          <c:showCatName val="0"/>
          <c:showSerName val="0"/>
          <c:showPercent val="0"/>
          <c:showBubbleSize val="0"/>
        </c:dLbls>
        <c:axId val="1834001472"/>
        <c:axId val="1833986592"/>
      </c:areaChart>
      <c:catAx>
        <c:axId val="1834001472"/>
        <c:scaling>
          <c:orientation val="minMax"/>
        </c:scaling>
        <c:delete val="1"/>
        <c:axPos val="b"/>
        <c:numFmt formatCode="General" sourceLinked="1"/>
        <c:majorTickMark val="out"/>
        <c:minorTickMark val="none"/>
        <c:tickLblPos val="nextTo"/>
        <c:crossAx val="1833986592"/>
        <c:crosses val="autoZero"/>
        <c:auto val="1"/>
        <c:lblAlgn val="ctr"/>
        <c:lblOffset val="100"/>
        <c:noMultiLvlLbl val="0"/>
      </c:catAx>
      <c:valAx>
        <c:axId val="1833986592"/>
        <c:scaling>
          <c:orientation val="minMax"/>
        </c:scaling>
        <c:delete val="1"/>
        <c:axPos val="l"/>
        <c:numFmt formatCode="General" sourceLinked="1"/>
        <c:majorTickMark val="none"/>
        <c:minorTickMark val="none"/>
        <c:tickLblPos val="nextTo"/>
        <c:crossAx val="1834001472"/>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2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38872403560832E-2"/>
          <c:y val="0.13876098540137405"/>
          <c:w val="0.94921820788232603"/>
          <c:h val="0.8513365816510009"/>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3-2495-44E8-8E9C-09B9AC322199}"/>
            </c:ext>
          </c:extLst>
        </c:ser>
        <c:dLbls>
          <c:showLegendKey val="0"/>
          <c:showVal val="0"/>
          <c:showCatName val="0"/>
          <c:showSerName val="0"/>
          <c:showPercent val="0"/>
          <c:showBubbleSize val="0"/>
        </c:dLbls>
        <c:axId val="2097138400"/>
        <c:axId val="2097124960"/>
      </c:areaChart>
      <c:catAx>
        <c:axId val="2097138400"/>
        <c:scaling>
          <c:orientation val="minMax"/>
        </c:scaling>
        <c:delete val="1"/>
        <c:axPos val="b"/>
        <c:numFmt formatCode="General" sourceLinked="1"/>
        <c:majorTickMark val="out"/>
        <c:minorTickMark val="none"/>
        <c:tickLblPos val="nextTo"/>
        <c:crossAx val="2097124960"/>
        <c:crosses val="autoZero"/>
        <c:auto val="1"/>
        <c:lblAlgn val="ctr"/>
        <c:lblOffset val="100"/>
        <c:noMultiLvlLbl val="0"/>
      </c:catAx>
      <c:valAx>
        <c:axId val="2097124960"/>
        <c:scaling>
          <c:orientation val="minMax"/>
        </c:scaling>
        <c:delete val="1"/>
        <c:axPos val="l"/>
        <c:numFmt formatCode="0.00" sourceLinked="1"/>
        <c:majorTickMark val="none"/>
        <c:minorTickMark val="none"/>
        <c:tickLblPos val="nextTo"/>
        <c:crossAx val="20971384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49808598865973E-2"/>
          <c:y val="3.7120107428552596E-2"/>
          <c:w val="0.96549998981298912"/>
          <c:h val="0.9625585955199657"/>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3-EC65-42E3-88CA-31B367540077}"/>
            </c:ext>
          </c:extLst>
        </c:ser>
        <c:dLbls>
          <c:showLegendKey val="0"/>
          <c:showVal val="0"/>
          <c:showCatName val="0"/>
          <c:showSerName val="0"/>
          <c:showPercent val="0"/>
          <c:showBubbleSize val="0"/>
        </c:dLbls>
        <c:axId val="1834015872"/>
        <c:axId val="1834016352"/>
      </c:areaChart>
      <c:catAx>
        <c:axId val="1834015872"/>
        <c:scaling>
          <c:orientation val="minMax"/>
        </c:scaling>
        <c:delete val="1"/>
        <c:axPos val="b"/>
        <c:numFmt formatCode="General" sourceLinked="1"/>
        <c:majorTickMark val="out"/>
        <c:minorTickMark val="none"/>
        <c:tickLblPos val="nextTo"/>
        <c:crossAx val="1834016352"/>
        <c:crosses val="autoZero"/>
        <c:auto val="1"/>
        <c:lblAlgn val="ctr"/>
        <c:lblOffset val="100"/>
        <c:noMultiLvlLbl val="0"/>
      </c:catAx>
      <c:valAx>
        <c:axId val="1834016352"/>
        <c:scaling>
          <c:orientation val="minMax"/>
        </c:scaling>
        <c:delete val="1"/>
        <c:axPos val="l"/>
        <c:numFmt formatCode="0.00" sourceLinked="1"/>
        <c:majorTickMark val="none"/>
        <c:minorTickMark val="none"/>
        <c:tickLblPos val="nextTo"/>
        <c:crossAx val="18340158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29813801693294E-3"/>
          <c:y val="0"/>
          <c:w val="0.98665263478749865"/>
          <c:h val="0.77299067839183233"/>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0-09</c:v>
                </c:pt>
                <c:pt idx="1">
                  <c:v>10-19</c:v>
                </c:pt>
                <c:pt idx="2">
                  <c:v>20-29</c:v>
                </c:pt>
                <c:pt idx="3">
                  <c:v>30-39</c:v>
                </c:pt>
                <c:pt idx="4">
                  <c:v>40-49</c:v>
                </c:pt>
                <c:pt idx="5">
                  <c:v>50-59</c:v>
                </c:pt>
                <c:pt idx="6">
                  <c:v>60-69</c:v>
                </c:pt>
                <c:pt idx="7">
                  <c:v>70-79</c:v>
                </c:pt>
              </c:strCache>
            </c:strRef>
          </c:cat>
          <c:val>
            <c:numRef>
              <c:f>'Pivot Report'!$B$50:$B$58</c:f>
              <c:numCache>
                <c:formatCode>0.00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4-3A6D-4E09-AC84-9AB78788DC67}"/>
            </c:ext>
          </c:extLst>
        </c:ser>
        <c:dLbls>
          <c:showLegendKey val="0"/>
          <c:showVal val="0"/>
          <c:showCatName val="0"/>
          <c:showSerName val="0"/>
          <c:showPercent val="0"/>
          <c:showBubbleSize val="0"/>
        </c:dLbls>
        <c:gapWidth val="219"/>
        <c:overlap val="-27"/>
        <c:axId val="820323472"/>
        <c:axId val="820317712"/>
      </c:barChart>
      <c:catAx>
        <c:axId val="8203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20317712"/>
        <c:crosses val="autoZero"/>
        <c:auto val="1"/>
        <c:lblAlgn val="ctr"/>
        <c:lblOffset val="100"/>
        <c:noMultiLvlLbl val="0"/>
      </c:catAx>
      <c:valAx>
        <c:axId val="820317712"/>
        <c:scaling>
          <c:orientation val="minMax"/>
        </c:scaling>
        <c:delete val="1"/>
        <c:axPos val="l"/>
        <c:numFmt formatCode="0.00" sourceLinked="1"/>
        <c:majorTickMark val="none"/>
        <c:minorTickMark val="none"/>
        <c:tickLblPos val="nextTo"/>
        <c:crossAx val="82032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Report!PivotTable9</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9.571415509114653E-2"/>
          <c:y val="9.063420535636342E-2"/>
          <c:w val="0.79162251906009706"/>
          <c:h val="0.86874704724409457"/>
        </c:manualLayout>
      </c:layout>
      <c:pieChart>
        <c:varyColors val="1"/>
        <c:ser>
          <c:idx val="0"/>
          <c:order val="0"/>
          <c:tx>
            <c:strRef>
              <c:f>'Pivot Report'!$F$49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Report'!$E$50:$E$52</c:f>
              <c:strCache>
                <c:ptCount val="2"/>
                <c:pt idx="0">
                  <c:v>Delay</c:v>
                </c:pt>
                <c:pt idx="1">
                  <c:v>On Time</c:v>
                </c:pt>
              </c:strCache>
            </c:strRef>
          </c:cat>
          <c:val>
            <c:numRef>
              <c:f>'Pivot Report'!$F$50:$F$52</c:f>
              <c:numCache>
                <c:formatCode>0.00</c:formatCode>
                <c:ptCount val="2"/>
                <c:pt idx="0">
                  <c:v>283</c:v>
                </c:pt>
                <c:pt idx="1">
                  <c:v>148</c:v>
                </c:pt>
              </c:numCache>
            </c:numRef>
          </c:val>
          <c:extLst>
            <c:ext xmlns:c16="http://schemas.microsoft.com/office/drawing/2014/chart" uri="{C3380CC4-5D6E-409C-BE32-E72D297353CC}">
              <c16:uniqueId val="{00000008-6D60-4A6B-B79F-02F6DB14C10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3761692142001112E-2"/>
          <c:y val="0"/>
          <c:w val="0.86985425830428864"/>
          <c:h val="0.10304363010989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Report!PivotTable10</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contourClr>
              <a:srgbClr val="000000"/>
            </a:contourClr>
          </a:sp3d>
        </c:spPr>
      </c:pivotFmt>
      <c:pivotFmt>
        <c:idx val="6"/>
        <c:spPr>
          <a:solidFill>
            <a:schemeClr val="accent2"/>
          </a:solidFill>
          <a:ln>
            <a:noFill/>
          </a:ln>
          <a:effectLst/>
          <a:scene3d>
            <a:camera prst="orthographicFront"/>
            <a:lightRig rig="brightRoom" dir="t"/>
          </a:scene3d>
          <a:sp3d prstMaterial="flat">
            <a:contourClr>
              <a:srgbClr val="000000"/>
            </a:contourClr>
          </a:sp3d>
        </c:spPr>
      </c:pivotFmt>
    </c:pivotFmts>
    <c:plotArea>
      <c:layout>
        <c:manualLayout>
          <c:layoutTarget val="inner"/>
          <c:xMode val="edge"/>
          <c:yMode val="edge"/>
          <c:x val="0.13165523245788846"/>
          <c:y val="0.15731330364076701"/>
          <c:w val="0.7210773879687814"/>
          <c:h val="0.78300740063170882"/>
        </c:manualLayout>
      </c:layout>
      <c:doughnutChart>
        <c:varyColors val="1"/>
        <c:ser>
          <c:idx val="0"/>
          <c:order val="0"/>
          <c:tx>
            <c:strRef>
              <c:f>'Pivot Report'!$F$56</c:f>
              <c:strCache>
                <c:ptCount val="1"/>
                <c:pt idx="0">
                  <c:v>Total</c:v>
                </c:pt>
              </c:strCache>
            </c:strRef>
          </c:tx>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dPt>
          <c:dPt>
            <c:idx val="1"/>
            <c:bubble3D val="0"/>
            <c:spPr>
              <a:solidFill>
                <a:schemeClr val="accent2"/>
              </a:solidFill>
              <a:ln>
                <a:noFill/>
              </a:ln>
              <a:effectLst/>
              <a:scene3d>
                <a:camera prst="orthographicFront"/>
                <a:lightRig rig="brightRoom" dir="t"/>
              </a:scene3d>
              <a:sp3d prstMaterial="flat">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Report'!$E$57:$E$59</c:f>
              <c:strCache>
                <c:ptCount val="2"/>
                <c:pt idx="0">
                  <c:v>Female</c:v>
                </c:pt>
                <c:pt idx="1">
                  <c:v>Male</c:v>
                </c:pt>
              </c:strCache>
            </c:strRef>
          </c:cat>
          <c:val>
            <c:numRef>
              <c:f>'Pivot Report'!$F$57:$F$59</c:f>
              <c:numCache>
                <c:formatCode>0.00</c:formatCode>
                <c:ptCount val="2"/>
                <c:pt idx="0">
                  <c:v>194</c:v>
                </c:pt>
                <c:pt idx="1">
                  <c:v>237</c:v>
                </c:pt>
              </c:numCache>
            </c:numRef>
          </c:val>
          <c:extLst>
            <c:ext xmlns:c16="http://schemas.microsoft.com/office/drawing/2014/chart" uri="{C3380CC4-5D6E-409C-BE32-E72D297353CC}">
              <c16:uniqueId val="{00000008-EF2B-4014-B1A8-708D751DD5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2056164720448435"/>
          <c:y val="1.0748719239493774E-2"/>
          <c:w val="0.74516908212560384"/>
          <c:h val="0.13940030633888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Report!PivotTable11</c:name>
    <c:fmtId val="3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25584262745915"/>
          <c:y val="3.6225895217556398E-2"/>
          <c:w val="0.74358050291182065"/>
          <c:h val="0.89255775849345587"/>
        </c:manualLayout>
      </c:layout>
      <c:barChart>
        <c:barDir val="bar"/>
        <c:grouping val="clustered"/>
        <c:varyColors val="0"/>
        <c:ser>
          <c:idx val="0"/>
          <c:order val="0"/>
          <c:tx>
            <c:strRef>
              <c:f>'Pivot Report'!$F$63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Report'!$E$64:$E$72</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Report'!$F$64:$F$72</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4-D248-42D2-A63E-35BE07E36E4C}"/>
            </c:ext>
          </c:extLst>
        </c:ser>
        <c:dLbls>
          <c:showLegendKey val="0"/>
          <c:showVal val="0"/>
          <c:showCatName val="0"/>
          <c:showSerName val="0"/>
          <c:showPercent val="0"/>
          <c:showBubbleSize val="0"/>
        </c:dLbls>
        <c:gapWidth val="31"/>
        <c:axId val="1637454176"/>
        <c:axId val="1637458496"/>
      </c:barChart>
      <c:catAx>
        <c:axId val="1637454176"/>
        <c:scaling>
          <c:orientation val="minMax"/>
        </c:scaling>
        <c:delete val="0"/>
        <c:axPos val="l"/>
        <c:numFmt formatCode="General" sourceLinked="1"/>
        <c:majorTickMark val="none"/>
        <c:minorTickMark val="none"/>
        <c:tickLblPos val="nextTo"/>
        <c:spPr>
          <a:noFill/>
          <a:ln w="0">
            <a:solidFill>
              <a:schemeClr val="accent1">
                <a:shade val="15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37458496"/>
        <c:crosses val="autoZero"/>
        <c:auto val="1"/>
        <c:lblAlgn val="ctr"/>
        <c:lblOffset val="100"/>
        <c:noMultiLvlLbl val="0"/>
      </c:catAx>
      <c:valAx>
        <c:axId val="1637458496"/>
        <c:scaling>
          <c:orientation val="minMax"/>
        </c:scaling>
        <c:delete val="1"/>
        <c:axPos val="b"/>
        <c:numFmt formatCode="0" sourceLinked="1"/>
        <c:majorTickMark val="none"/>
        <c:minorTickMark val="none"/>
        <c:tickLblPos val="nextTo"/>
        <c:crossAx val="16374541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Report!PivotTable7</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4297816330128E-2"/>
          <c:y val="0.1247715755666499"/>
          <c:w val="0.88635640615345612"/>
          <c:h val="0.6939827279654559"/>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Report'!$J$5:$J$33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2-1AF5-42A0-BD8C-B8AE8E9135C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4015872"/>
        <c:axId val="1834016352"/>
      </c:areaChart>
      <c:catAx>
        <c:axId val="18340158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4016352"/>
        <c:crosses val="autoZero"/>
        <c:auto val="1"/>
        <c:lblAlgn val="ctr"/>
        <c:lblOffset val="100"/>
        <c:noMultiLvlLbl val="0"/>
      </c:catAx>
      <c:valAx>
        <c:axId val="1834016352"/>
        <c:scaling>
          <c:orientation val="minMax"/>
        </c:scaling>
        <c:delete val="1"/>
        <c:axPos val="l"/>
        <c:numFmt formatCode="0.00" sourceLinked="1"/>
        <c:majorTickMark val="out"/>
        <c:minorTickMark val="none"/>
        <c:tickLblPos val="nextTo"/>
        <c:crossAx val="1834015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2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wait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Report'!$G$5:$G$34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2-5DBB-4648-B798-A41036F9A7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7138400"/>
        <c:axId val="2097124960"/>
      </c:areaChart>
      <c:catAx>
        <c:axId val="20971384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7124960"/>
        <c:crosses val="autoZero"/>
        <c:auto val="1"/>
        <c:lblAlgn val="ctr"/>
        <c:lblOffset val="100"/>
        <c:noMultiLvlLbl val="0"/>
      </c:catAx>
      <c:valAx>
        <c:axId val="2097124960"/>
        <c:scaling>
          <c:orientation val="minMax"/>
        </c:scaling>
        <c:delete val="1"/>
        <c:axPos val="l"/>
        <c:numFmt formatCode="0.00" sourceLinked="1"/>
        <c:majorTickMark val="out"/>
        <c:minorTickMark val="none"/>
        <c:tickLblPos val="nextTo"/>
        <c:crossAx val="20971384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24975057242742E-2"/>
          <c:y val="3.0904787208347436E-2"/>
          <c:w val="0.93324686510813315"/>
          <c:h val="0.72617458093811893"/>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2-0DF2-45A7-9148-AD42D851C4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4001472"/>
        <c:axId val="1833986592"/>
      </c:areaChart>
      <c:catAx>
        <c:axId val="1834001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3986592"/>
        <c:crosses val="autoZero"/>
        <c:auto val="1"/>
        <c:lblAlgn val="ctr"/>
        <c:lblOffset val="100"/>
        <c:noMultiLvlLbl val="0"/>
      </c:catAx>
      <c:valAx>
        <c:axId val="1833986592"/>
        <c:scaling>
          <c:orientation val="minMax"/>
        </c:scaling>
        <c:delete val="1"/>
        <c:axPos val="l"/>
        <c:numFmt formatCode="General" sourceLinked="1"/>
        <c:majorTickMark val="out"/>
        <c:minorTickMark val="none"/>
        <c:tickLblPos val="nextTo"/>
        <c:crossAx val="1834001472"/>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3!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47625</xdr:colOff>
      <xdr:row>44</xdr:row>
      <xdr:rowOff>31749</xdr:rowOff>
    </xdr:from>
    <xdr:to>
      <xdr:col>3</xdr:col>
      <xdr:colOff>1603375</xdr:colOff>
      <xdr:row>45</xdr:row>
      <xdr:rowOff>162717</xdr:rowOff>
    </xdr:to>
    <xdr:graphicFrame macro="">
      <xdr:nvGraphicFramePr>
        <xdr:cNvPr id="10" name="Chart 9">
          <a:extLst>
            <a:ext uri="{FF2B5EF4-FFF2-40B4-BE49-F238E27FC236}">
              <a16:creationId xmlns:a16="http://schemas.microsoft.com/office/drawing/2014/main" id="{66BA7343-FB60-4F34-BB37-3EA973288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112350</xdr:colOff>
      <xdr:row>0</xdr:row>
      <xdr:rowOff>91965</xdr:rowOff>
    </xdr:from>
    <xdr:to>
      <xdr:col>5</xdr:col>
      <xdr:colOff>312615</xdr:colOff>
      <xdr:row>3</xdr:row>
      <xdr:rowOff>136769</xdr:rowOff>
    </xdr:to>
    <xdr:sp macro="" textlink="">
      <xdr:nvSpPr>
        <xdr:cNvPr id="4" name="Rectangle: Rounded Corners 3">
          <a:extLst>
            <a:ext uri="{FF2B5EF4-FFF2-40B4-BE49-F238E27FC236}">
              <a16:creationId xmlns:a16="http://schemas.microsoft.com/office/drawing/2014/main" id="{AED23EFA-9769-DC4C-63D9-0D6E02C2E253}"/>
            </a:ext>
          </a:extLst>
        </xdr:cNvPr>
        <xdr:cNvSpPr/>
      </xdr:nvSpPr>
      <xdr:spPr>
        <a:xfrm>
          <a:off x="112350" y="91965"/>
          <a:ext cx="3245379" cy="598986"/>
        </a:xfrm>
        <a:prstGeom prst="roundRect">
          <a:avLst>
            <a:gd name="adj" fmla="val 15105"/>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5</xdr:col>
      <xdr:colOff>418888</xdr:colOff>
      <xdr:row>0</xdr:row>
      <xdr:rowOff>92419</xdr:rowOff>
    </xdr:from>
    <xdr:to>
      <xdr:col>7</xdr:col>
      <xdr:colOff>347297</xdr:colOff>
      <xdr:row>3</xdr:row>
      <xdr:rowOff>133350</xdr:rowOff>
    </xdr:to>
    <xdr:sp macro="" textlink="">
      <xdr:nvSpPr>
        <xdr:cNvPr id="5" name="Rectangle: Rounded Corners 4">
          <a:extLst>
            <a:ext uri="{FF2B5EF4-FFF2-40B4-BE49-F238E27FC236}">
              <a16:creationId xmlns:a16="http://schemas.microsoft.com/office/drawing/2014/main" id="{B75D87F0-B559-EFEF-1F7E-C584D7017FD4}"/>
            </a:ext>
          </a:extLst>
        </xdr:cNvPr>
        <xdr:cNvSpPr/>
      </xdr:nvSpPr>
      <xdr:spPr>
        <a:xfrm>
          <a:off x="3466888" y="92419"/>
          <a:ext cx="1147609" cy="593381"/>
        </a:xfrm>
        <a:prstGeom prst="roundRect">
          <a:avLst>
            <a:gd name="adj" fmla="val 15105"/>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1</xdr:col>
      <xdr:colOff>211263</xdr:colOff>
      <xdr:row>8</xdr:row>
      <xdr:rowOff>175679</xdr:rowOff>
    </xdr:from>
    <xdr:to>
      <xdr:col>3</xdr:col>
      <xdr:colOff>474869</xdr:colOff>
      <xdr:row>16</xdr:row>
      <xdr:rowOff>58658</xdr:rowOff>
    </xdr:to>
    <xdr:sp macro="" textlink="">
      <xdr:nvSpPr>
        <xdr:cNvPr id="6" name="Rectangle: Rounded Corners 5">
          <a:extLst>
            <a:ext uri="{FF2B5EF4-FFF2-40B4-BE49-F238E27FC236}">
              <a16:creationId xmlns:a16="http://schemas.microsoft.com/office/drawing/2014/main" id="{17C91A2A-BAD6-507E-657D-25C1D87776D3}"/>
            </a:ext>
          </a:extLst>
        </xdr:cNvPr>
        <xdr:cNvSpPr/>
      </xdr:nvSpPr>
      <xdr:spPr>
        <a:xfrm>
          <a:off x="819526" y="1646205"/>
          <a:ext cx="1480132" cy="1353506"/>
        </a:xfrm>
        <a:prstGeom prst="roundRect">
          <a:avLst>
            <a:gd name="adj" fmla="val 15105"/>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3</xdr:col>
      <xdr:colOff>530086</xdr:colOff>
      <xdr:row>8</xdr:row>
      <xdr:rowOff>143565</xdr:rowOff>
    </xdr:from>
    <xdr:to>
      <xdr:col>6</xdr:col>
      <xdr:colOff>198782</xdr:colOff>
      <xdr:row>16</xdr:row>
      <xdr:rowOff>66261</xdr:rowOff>
    </xdr:to>
    <xdr:sp macro="" textlink="">
      <xdr:nvSpPr>
        <xdr:cNvPr id="7" name="Rectangle: Rounded Corners 6">
          <a:extLst>
            <a:ext uri="{FF2B5EF4-FFF2-40B4-BE49-F238E27FC236}">
              <a16:creationId xmlns:a16="http://schemas.microsoft.com/office/drawing/2014/main" id="{DB669E64-C2B2-5C08-EEF3-53844872E388}"/>
            </a:ext>
          </a:extLst>
        </xdr:cNvPr>
        <xdr:cNvSpPr/>
      </xdr:nvSpPr>
      <xdr:spPr>
        <a:xfrm>
          <a:off x="2352260" y="1601304"/>
          <a:ext cx="1490870" cy="1380435"/>
        </a:xfrm>
        <a:prstGeom prst="roundRect">
          <a:avLst>
            <a:gd name="adj" fmla="val 15105"/>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0</xdr:col>
      <xdr:colOff>53093</xdr:colOff>
      <xdr:row>3</xdr:row>
      <xdr:rowOff>153971</xdr:rowOff>
    </xdr:from>
    <xdr:to>
      <xdr:col>1</xdr:col>
      <xdr:colOff>152400</xdr:colOff>
      <xdr:row>16</xdr:row>
      <xdr:rowOff>95250</xdr:rowOff>
    </xdr:to>
    <xdr:sp macro="" textlink="">
      <xdr:nvSpPr>
        <xdr:cNvPr id="12" name="Rectangle: Rounded Corners 11">
          <a:extLst>
            <a:ext uri="{FF2B5EF4-FFF2-40B4-BE49-F238E27FC236}">
              <a16:creationId xmlns:a16="http://schemas.microsoft.com/office/drawing/2014/main" id="{BEE4CE30-21D2-48AC-884B-B9C2D652996C}"/>
            </a:ext>
          </a:extLst>
        </xdr:cNvPr>
        <xdr:cNvSpPr/>
      </xdr:nvSpPr>
      <xdr:spPr>
        <a:xfrm>
          <a:off x="53093" y="706421"/>
          <a:ext cx="708907" cy="2335229"/>
        </a:xfrm>
        <a:prstGeom prst="roundRect">
          <a:avLst>
            <a:gd name="adj" fmla="val 15105"/>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1</xdr:col>
      <xdr:colOff>195384</xdr:colOff>
      <xdr:row>4</xdr:row>
      <xdr:rowOff>4885</xdr:rowOff>
    </xdr:from>
    <xdr:to>
      <xdr:col>3</xdr:col>
      <xdr:colOff>205152</xdr:colOff>
      <xdr:row>8</xdr:row>
      <xdr:rowOff>73269</xdr:rowOff>
    </xdr:to>
    <xdr:sp macro="" textlink="">
      <xdr:nvSpPr>
        <xdr:cNvPr id="13" name="Rectangle: Rounded Corners 12">
          <a:extLst>
            <a:ext uri="{FF2B5EF4-FFF2-40B4-BE49-F238E27FC236}">
              <a16:creationId xmlns:a16="http://schemas.microsoft.com/office/drawing/2014/main" id="{B8157CD7-7240-EFA4-9BC3-5CE2366E44DD}"/>
            </a:ext>
          </a:extLst>
        </xdr:cNvPr>
        <xdr:cNvSpPr/>
      </xdr:nvSpPr>
      <xdr:spPr>
        <a:xfrm>
          <a:off x="803647" y="740148"/>
          <a:ext cx="1226294" cy="803647"/>
        </a:xfrm>
        <a:prstGeom prst="roundRect">
          <a:avLst>
            <a:gd name="adj" fmla="val 4708"/>
          </a:avLst>
        </a:prstGeom>
        <a:solidFill>
          <a:schemeClr val="lt1"/>
        </a:solidFill>
        <a:ln>
          <a:solidFill>
            <a:schemeClr val="accent1">
              <a:shade val="15000"/>
            </a:schemeClr>
          </a:solidFill>
        </a:ln>
        <a:effectLst>
          <a:outerShdw blurRad="50800" dist="635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3</xdr:col>
      <xdr:colOff>266696</xdr:colOff>
      <xdr:row>4</xdr:row>
      <xdr:rowOff>14655</xdr:rowOff>
    </xdr:from>
    <xdr:to>
      <xdr:col>5</xdr:col>
      <xdr:colOff>296003</xdr:colOff>
      <xdr:row>8</xdr:row>
      <xdr:rowOff>63501</xdr:rowOff>
    </xdr:to>
    <xdr:sp macro="" textlink="">
      <xdr:nvSpPr>
        <xdr:cNvPr id="14" name="Rectangle: Rounded Corners 13">
          <a:extLst>
            <a:ext uri="{FF2B5EF4-FFF2-40B4-BE49-F238E27FC236}">
              <a16:creationId xmlns:a16="http://schemas.microsoft.com/office/drawing/2014/main" id="{DE8F4B81-B0D3-CE7A-E771-B247E3E9AF63}"/>
            </a:ext>
          </a:extLst>
        </xdr:cNvPr>
        <xdr:cNvSpPr/>
      </xdr:nvSpPr>
      <xdr:spPr>
        <a:xfrm>
          <a:off x="2098739" y="749634"/>
          <a:ext cx="1250668" cy="783824"/>
        </a:xfrm>
        <a:prstGeom prst="roundRect">
          <a:avLst>
            <a:gd name="adj" fmla="val 4876"/>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5</xdr:col>
      <xdr:colOff>357559</xdr:colOff>
      <xdr:row>4</xdr:row>
      <xdr:rowOff>13643</xdr:rowOff>
    </xdr:from>
    <xdr:to>
      <xdr:col>7</xdr:col>
      <xdr:colOff>366347</xdr:colOff>
      <xdr:row>8</xdr:row>
      <xdr:rowOff>61310</xdr:rowOff>
    </xdr:to>
    <xdr:sp macro="" textlink="">
      <xdr:nvSpPr>
        <xdr:cNvPr id="15" name="Rectangle: Rounded Corners 14">
          <a:extLst>
            <a:ext uri="{FF2B5EF4-FFF2-40B4-BE49-F238E27FC236}">
              <a16:creationId xmlns:a16="http://schemas.microsoft.com/office/drawing/2014/main" id="{0CEBEEAE-9F68-C446-1F1C-A08A4BDE420F}"/>
            </a:ext>
          </a:extLst>
        </xdr:cNvPr>
        <xdr:cNvSpPr/>
      </xdr:nvSpPr>
      <xdr:spPr>
        <a:xfrm>
          <a:off x="3398875" y="748906"/>
          <a:ext cx="1225314" cy="782930"/>
        </a:xfrm>
        <a:prstGeom prst="roundRect">
          <a:avLst>
            <a:gd name="adj" fmla="val 3580"/>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7</xdr:col>
      <xdr:colOff>511398</xdr:colOff>
      <xdr:row>0</xdr:row>
      <xdr:rowOff>46935</xdr:rowOff>
    </xdr:from>
    <xdr:to>
      <xdr:col>12</xdr:col>
      <xdr:colOff>386521</xdr:colOff>
      <xdr:row>8</xdr:row>
      <xdr:rowOff>67482</xdr:rowOff>
    </xdr:to>
    <xdr:sp macro="" textlink="">
      <xdr:nvSpPr>
        <xdr:cNvPr id="17" name="Rectangle: Rounded Corners 16">
          <a:extLst>
            <a:ext uri="{FF2B5EF4-FFF2-40B4-BE49-F238E27FC236}">
              <a16:creationId xmlns:a16="http://schemas.microsoft.com/office/drawing/2014/main" id="{5E1212D5-4F09-86B2-2E2B-2DA41941951F}"/>
            </a:ext>
          </a:extLst>
        </xdr:cNvPr>
        <xdr:cNvSpPr/>
      </xdr:nvSpPr>
      <xdr:spPr>
        <a:xfrm>
          <a:off x="4763137" y="46935"/>
          <a:ext cx="2912080" cy="1478286"/>
        </a:xfrm>
        <a:prstGeom prst="roundRect">
          <a:avLst>
            <a:gd name="adj" fmla="val 7967"/>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editAs="absolute">
    <xdr:from>
      <xdr:col>6</xdr:col>
      <xdr:colOff>290287</xdr:colOff>
      <xdr:row>11</xdr:row>
      <xdr:rowOff>78148</xdr:rowOff>
    </xdr:from>
    <xdr:to>
      <xdr:col>12</xdr:col>
      <xdr:colOff>439096</xdr:colOff>
      <xdr:row>16</xdr:row>
      <xdr:rowOff>62036</xdr:rowOff>
    </xdr:to>
    <xdr:sp macro="" textlink="">
      <xdr:nvSpPr>
        <xdr:cNvPr id="27" name="Rectangle: Rounded Corners 26">
          <a:extLst>
            <a:ext uri="{FF2B5EF4-FFF2-40B4-BE49-F238E27FC236}">
              <a16:creationId xmlns:a16="http://schemas.microsoft.com/office/drawing/2014/main" id="{CBE0EB11-55AC-DFFB-182C-410D686FC208}"/>
            </a:ext>
          </a:extLst>
        </xdr:cNvPr>
        <xdr:cNvSpPr/>
      </xdr:nvSpPr>
      <xdr:spPr>
        <a:xfrm>
          <a:off x="3947887" y="2113777"/>
          <a:ext cx="3806409" cy="909173"/>
        </a:xfrm>
        <a:prstGeom prst="roundRect">
          <a:avLst>
            <a:gd name="adj" fmla="val 3132"/>
          </a:avLst>
        </a:prstGeom>
        <a:solidFill>
          <a:schemeClr val="l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l"/>
          <a:endParaRPr lang="en-US" sz="1100">
            <a:noFill/>
          </a:endParaRPr>
        </a:p>
      </xdr:txBody>
    </xdr:sp>
    <xdr:clientData/>
  </xdr:twoCellAnchor>
  <xdr:twoCellAnchor>
    <xdr:from>
      <xdr:col>1</xdr:col>
      <xdr:colOff>215349</xdr:colOff>
      <xdr:row>0</xdr:row>
      <xdr:rowOff>100625</xdr:rowOff>
    </xdr:from>
    <xdr:to>
      <xdr:col>5</xdr:col>
      <xdr:colOff>288193</xdr:colOff>
      <xdr:row>2</xdr:row>
      <xdr:rowOff>63502</xdr:rowOff>
    </xdr:to>
    <xdr:sp macro="" textlink="">
      <xdr:nvSpPr>
        <xdr:cNvPr id="29" name="TextBox 28">
          <a:extLst>
            <a:ext uri="{FF2B5EF4-FFF2-40B4-BE49-F238E27FC236}">
              <a16:creationId xmlns:a16="http://schemas.microsoft.com/office/drawing/2014/main" id="{3636F56B-3011-7A40-0D83-261F45004AF9}"/>
            </a:ext>
          </a:extLst>
        </xdr:cNvPr>
        <xdr:cNvSpPr txBox="1"/>
      </xdr:nvSpPr>
      <xdr:spPr>
        <a:xfrm>
          <a:off x="822740" y="100625"/>
          <a:ext cx="2502410" cy="327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400" b="1"/>
            <a:t>Hospital Emergency Room</a:t>
          </a:r>
          <a:r>
            <a:rPr lang="en-US" sz="1400" b="1" baseline="0"/>
            <a:t> Report</a:t>
          </a:r>
          <a:endParaRPr lang="en-US" sz="1400" b="1"/>
        </a:p>
      </xdr:txBody>
    </xdr:sp>
    <xdr:clientData/>
  </xdr:twoCellAnchor>
  <xdr:twoCellAnchor>
    <xdr:from>
      <xdr:col>2</xdr:col>
      <xdr:colOff>294946</xdr:colOff>
      <xdr:row>1</xdr:row>
      <xdr:rowOff>161192</xdr:rowOff>
    </xdr:from>
    <xdr:to>
      <xdr:col>3</xdr:col>
      <xdr:colOff>532425</xdr:colOff>
      <xdr:row>3</xdr:row>
      <xdr:rowOff>44940</xdr:rowOff>
    </xdr:to>
    <xdr:sp macro="" textlink="">
      <xdr:nvSpPr>
        <xdr:cNvPr id="30" name="TextBox 29">
          <a:extLst>
            <a:ext uri="{FF2B5EF4-FFF2-40B4-BE49-F238E27FC236}">
              <a16:creationId xmlns:a16="http://schemas.microsoft.com/office/drawing/2014/main" id="{7C1E9C8E-A0B2-48B1-A6CD-71775B5D884C}"/>
            </a:ext>
          </a:extLst>
        </xdr:cNvPr>
        <xdr:cNvSpPr txBox="1"/>
      </xdr:nvSpPr>
      <xdr:spPr>
        <a:xfrm>
          <a:off x="1516100" y="346807"/>
          <a:ext cx="848056" cy="254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50"/>
            <a:t>Monthly</a:t>
          </a:r>
          <a:r>
            <a:rPr lang="en-US" sz="1050" baseline="0"/>
            <a:t> Report</a:t>
          </a:r>
          <a:endParaRPr lang="en-US" sz="1050"/>
        </a:p>
      </xdr:txBody>
    </xdr:sp>
    <xdr:clientData/>
  </xdr:twoCellAnchor>
  <xdr:twoCellAnchor editAs="oneCell">
    <xdr:from>
      <xdr:col>0</xdr:col>
      <xdr:colOff>131884</xdr:colOff>
      <xdr:row>0</xdr:row>
      <xdr:rowOff>78408</xdr:rowOff>
    </xdr:from>
    <xdr:to>
      <xdr:col>1</xdr:col>
      <xdr:colOff>268654</xdr:colOff>
      <xdr:row>3</xdr:row>
      <xdr:rowOff>182217</xdr:rowOff>
    </xdr:to>
    <xdr:pic>
      <xdr:nvPicPr>
        <xdr:cNvPr id="32" name="Picture 31">
          <a:extLst>
            <a:ext uri="{FF2B5EF4-FFF2-40B4-BE49-F238E27FC236}">
              <a16:creationId xmlns:a16="http://schemas.microsoft.com/office/drawing/2014/main" id="{A4677F99-C0EE-0707-7371-6059E4CE0C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028" t="801" r="15633" b="-3808"/>
        <a:stretch/>
      </xdr:blipFill>
      <xdr:spPr>
        <a:xfrm>
          <a:off x="131884" y="78408"/>
          <a:ext cx="747347" cy="660655"/>
        </a:xfrm>
        <a:prstGeom prst="rect">
          <a:avLst/>
        </a:prstGeom>
      </xdr:spPr>
    </xdr:pic>
    <xdr:clientData/>
  </xdr:twoCellAnchor>
  <xdr:twoCellAnchor>
    <xdr:from>
      <xdr:col>8</xdr:col>
      <xdr:colOff>455496</xdr:colOff>
      <xdr:row>15</xdr:row>
      <xdr:rowOff>28410</xdr:rowOff>
    </xdr:from>
    <xdr:to>
      <xdr:col>11</xdr:col>
      <xdr:colOff>78827</xdr:colOff>
      <xdr:row>16</xdr:row>
      <xdr:rowOff>96796</xdr:rowOff>
    </xdr:to>
    <xdr:sp macro="" textlink="">
      <xdr:nvSpPr>
        <xdr:cNvPr id="33" name="TextBox 32">
          <a:extLst>
            <a:ext uri="{FF2B5EF4-FFF2-40B4-BE49-F238E27FC236}">
              <a16:creationId xmlns:a16="http://schemas.microsoft.com/office/drawing/2014/main" id="{720B342B-422F-77A5-2B5F-817882208DC6}"/>
            </a:ext>
          </a:extLst>
        </xdr:cNvPr>
        <xdr:cNvSpPr txBox="1"/>
      </xdr:nvSpPr>
      <xdr:spPr>
        <a:xfrm>
          <a:off x="5325289" y="2787376"/>
          <a:ext cx="1449504" cy="25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900" baseline="0"/>
            <a:t>No. of patient by agr group</a:t>
          </a:r>
        </a:p>
        <a:p>
          <a:endParaRPr lang="en-US" sz="900"/>
        </a:p>
      </xdr:txBody>
    </xdr:sp>
    <xdr:clientData/>
  </xdr:twoCellAnchor>
  <xdr:twoCellAnchor>
    <xdr:from>
      <xdr:col>2</xdr:col>
      <xdr:colOff>70302</xdr:colOff>
      <xdr:row>4</xdr:row>
      <xdr:rowOff>120498</xdr:rowOff>
    </xdr:from>
    <xdr:to>
      <xdr:col>2</xdr:col>
      <xdr:colOff>387802</xdr:colOff>
      <xdr:row>5</xdr:row>
      <xdr:rowOff>130268</xdr:rowOff>
    </xdr:to>
    <xdr:sp macro="" textlink="'Pivot Report'!A5">
      <xdr:nvSpPr>
        <xdr:cNvPr id="35" name="TextBox 34">
          <a:extLst>
            <a:ext uri="{FF2B5EF4-FFF2-40B4-BE49-F238E27FC236}">
              <a16:creationId xmlns:a16="http://schemas.microsoft.com/office/drawing/2014/main" id="{31A5CDB7-6906-AF7B-74F3-2BDD8BC88709}"/>
            </a:ext>
          </a:extLst>
        </xdr:cNvPr>
        <xdr:cNvSpPr txBox="1"/>
      </xdr:nvSpPr>
      <xdr:spPr>
        <a:xfrm>
          <a:off x="1289502" y="860727"/>
          <a:ext cx="317500" cy="194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3505C6C4-BFD1-42A9-A9E3-BA7B96782760}" type="TxLink">
            <a:rPr lang="en-US" sz="1100" b="0" i="0" u="none" strike="noStrike" baseline="0">
              <a:solidFill>
                <a:srgbClr val="000000"/>
              </a:solidFill>
              <a:latin typeface="Aptos Narrow"/>
            </a:rPr>
            <a:pPr/>
            <a:t>431</a:t>
          </a:fld>
          <a:endParaRPr lang="en-US" sz="1050"/>
        </a:p>
      </xdr:txBody>
    </xdr:sp>
    <xdr:clientData/>
  </xdr:twoCellAnchor>
  <xdr:twoCellAnchor>
    <xdr:from>
      <xdr:col>4</xdr:col>
      <xdr:colOff>81126</xdr:colOff>
      <xdr:row>4</xdr:row>
      <xdr:rowOff>157581</xdr:rowOff>
    </xdr:from>
    <xdr:to>
      <xdr:col>4</xdr:col>
      <xdr:colOff>427934</xdr:colOff>
      <xdr:row>5</xdr:row>
      <xdr:rowOff>167351</xdr:rowOff>
    </xdr:to>
    <xdr:sp macro="" textlink="'Pivot Report'!A9">
      <xdr:nvSpPr>
        <xdr:cNvPr id="37" name="TextBox 36">
          <a:extLst>
            <a:ext uri="{FF2B5EF4-FFF2-40B4-BE49-F238E27FC236}">
              <a16:creationId xmlns:a16="http://schemas.microsoft.com/office/drawing/2014/main" id="{A9A708C2-C33F-70A4-43ED-94331DC8F83C}"/>
            </a:ext>
          </a:extLst>
        </xdr:cNvPr>
        <xdr:cNvSpPr txBox="1"/>
      </xdr:nvSpPr>
      <xdr:spPr>
        <a:xfrm>
          <a:off x="2510691" y="886451"/>
          <a:ext cx="346808" cy="191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CABA014E-76A3-4321-9198-6CFE1D656EFC}" type="TxLink">
            <a:rPr lang="en-US" sz="1100" b="0" i="0" u="none" strike="noStrike" baseline="0">
              <a:solidFill>
                <a:srgbClr val="000000"/>
              </a:solidFill>
              <a:latin typeface="Aptos Narrow"/>
            </a:rPr>
            <a:pPr/>
            <a:t>36.67</a:t>
          </a:fld>
          <a:endParaRPr lang="en-US" sz="1050"/>
        </a:p>
      </xdr:txBody>
    </xdr:sp>
    <xdr:clientData/>
  </xdr:twoCellAnchor>
  <xdr:twoCellAnchor>
    <xdr:from>
      <xdr:col>5</xdr:col>
      <xdr:colOff>503319</xdr:colOff>
      <xdr:row>4</xdr:row>
      <xdr:rowOff>7626</xdr:rowOff>
    </xdr:from>
    <xdr:to>
      <xdr:col>7</xdr:col>
      <xdr:colOff>322589</xdr:colOff>
      <xdr:row>6</xdr:row>
      <xdr:rowOff>32051</xdr:rowOff>
    </xdr:to>
    <xdr:sp macro="" textlink="">
      <xdr:nvSpPr>
        <xdr:cNvPr id="38" name="TextBox 37">
          <a:extLst>
            <a:ext uri="{FF2B5EF4-FFF2-40B4-BE49-F238E27FC236}">
              <a16:creationId xmlns:a16="http://schemas.microsoft.com/office/drawing/2014/main" id="{46EE2CE5-5D10-E51A-BCB7-611952988CD2}"/>
            </a:ext>
          </a:extLst>
        </xdr:cNvPr>
        <xdr:cNvSpPr txBox="1"/>
      </xdr:nvSpPr>
      <xdr:spPr>
        <a:xfrm>
          <a:off x="3551319" y="747855"/>
          <a:ext cx="1038470" cy="39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50" baseline="0"/>
            <a:t>Patient </a:t>
          </a:r>
          <a:r>
            <a:rPr lang="en-US" sz="1000" baseline="0"/>
            <a:t>Satisfaction</a:t>
          </a:r>
        </a:p>
        <a:p>
          <a:pPr algn="ctr"/>
          <a:r>
            <a:rPr lang="en-US" sz="1050" baseline="0"/>
            <a:t> Score</a:t>
          </a:r>
        </a:p>
        <a:p>
          <a:endParaRPr lang="en-US" sz="1050"/>
        </a:p>
      </xdr:txBody>
    </xdr:sp>
    <xdr:clientData/>
  </xdr:twoCellAnchor>
  <xdr:twoCellAnchor>
    <xdr:from>
      <xdr:col>6</xdr:col>
      <xdr:colOff>201542</xdr:colOff>
      <xdr:row>4</xdr:row>
      <xdr:rowOff>142290</xdr:rowOff>
    </xdr:from>
    <xdr:to>
      <xdr:col>6</xdr:col>
      <xdr:colOff>499503</xdr:colOff>
      <xdr:row>5</xdr:row>
      <xdr:rowOff>152060</xdr:rowOff>
    </xdr:to>
    <xdr:sp macro="" textlink="'Pivot Report'!A13">
      <xdr:nvSpPr>
        <xdr:cNvPr id="39" name="TextBox 38">
          <a:extLst>
            <a:ext uri="{FF2B5EF4-FFF2-40B4-BE49-F238E27FC236}">
              <a16:creationId xmlns:a16="http://schemas.microsoft.com/office/drawing/2014/main" id="{8204D1E8-DE91-3CB7-301E-DA466E21E90C}"/>
            </a:ext>
          </a:extLst>
        </xdr:cNvPr>
        <xdr:cNvSpPr txBox="1"/>
      </xdr:nvSpPr>
      <xdr:spPr>
        <a:xfrm>
          <a:off x="3859142" y="882519"/>
          <a:ext cx="297961" cy="194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A230CE92-F771-4630-B8F2-1EC2E44D3EBC}" type="TxLink">
            <a:rPr lang="en-US" sz="1100" b="0" i="0" u="none" strike="noStrike" baseline="0">
              <a:solidFill>
                <a:srgbClr val="000000"/>
              </a:solidFill>
              <a:latin typeface="Aptos Narrow"/>
            </a:rPr>
            <a:pPr/>
            <a:t>4.72</a:t>
          </a:fld>
          <a:endParaRPr lang="en-US" sz="1050"/>
        </a:p>
      </xdr:txBody>
    </xdr:sp>
    <xdr:clientData/>
  </xdr:twoCellAnchor>
  <xdr:twoCellAnchor>
    <xdr:from>
      <xdr:col>3</xdr:col>
      <xdr:colOff>537482</xdr:colOff>
      <xdr:row>4</xdr:row>
      <xdr:rowOff>11891</xdr:rowOff>
    </xdr:from>
    <xdr:to>
      <xdr:col>5</xdr:col>
      <xdr:colOff>144845</xdr:colOff>
      <xdr:row>5</xdr:row>
      <xdr:rowOff>80276</xdr:rowOff>
    </xdr:to>
    <xdr:sp macro="" textlink="">
      <xdr:nvSpPr>
        <xdr:cNvPr id="42" name="TextBox 41">
          <a:extLst>
            <a:ext uri="{FF2B5EF4-FFF2-40B4-BE49-F238E27FC236}">
              <a16:creationId xmlns:a16="http://schemas.microsoft.com/office/drawing/2014/main" id="{BBB5A1FA-11E0-349C-086B-B1E3A27DA403}"/>
            </a:ext>
          </a:extLst>
        </xdr:cNvPr>
        <xdr:cNvSpPr txBox="1"/>
      </xdr:nvSpPr>
      <xdr:spPr>
        <a:xfrm>
          <a:off x="2369213" y="754353"/>
          <a:ext cx="82851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50" baseline="0"/>
            <a:t>Avg. Wait Time</a:t>
          </a:r>
        </a:p>
        <a:p>
          <a:endParaRPr lang="en-US" sz="1050"/>
        </a:p>
      </xdr:txBody>
    </xdr:sp>
    <xdr:clientData/>
  </xdr:twoCellAnchor>
  <xdr:twoCellAnchor editAs="oneCell">
    <xdr:from>
      <xdr:col>3</xdr:col>
      <xdr:colOff>261563</xdr:colOff>
      <xdr:row>4</xdr:row>
      <xdr:rowOff>67287</xdr:rowOff>
    </xdr:from>
    <xdr:to>
      <xdr:col>3</xdr:col>
      <xdr:colOff>531589</xdr:colOff>
      <xdr:row>5</xdr:row>
      <xdr:rowOff>155864</xdr:rowOff>
    </xdr:to>
    <xdr:pic>
      <xdr:nvPicPr>
        <xdr:cNvPr id="44" name="Graphic 43" descr="Hourglass Finished with solid fill">
          <a:extLst>
            <a:ext uri="{FF2B5EF4-FFF2-40B4-BE49-F238E27FC236}">
              <a16:creationId xmlns:a16="http://schemas.microsoft.com/office/drawing/2014/main" id="{6DBB8734-BABC-8A0C-B6CC-461E404F3F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88631" y="806196"/>
          <a:ext cx="270026" cy="273304"/>
        </a:xfrm>
        <a:prstGeom prst="rect">
          <a:avLst/>
        </a:prstGeom>
      </xdr:spPr>
    </xdr:pic>
    <xdr:clientData/>
  </xdr:twoCellAnchor>
  <xdr:twoCellAnchor editAs="oneCell">
    <xdr:from>
      <xdr:col>1</xdr:col>
      <xdr:colOff>210262</xdr:colOff>
      <xdr:row>4</xdr:row>
      <xdr:rowOff>84421</xdr:rowOff>
    </xdr:from>
    <xdr:to>
      <xdr:col>1</xdr:col>
      <xdr:colOff>501220</xdr:colOff>
      <xdr:row>6</xdr:row>
      <xdr:rowOff>10024</xdr:rowOff>
    </xdr:to>
    <xdr:pic>
      <xdr:nvPicPr>
        <xdr:cNvPr id="46" name="Graphic 45" descr="Male profile with solid fill">
          <a:extLst>
            <a:ext uri="{FF2B5EF4-FFF2-40B4-BE49-F238E27FC236}">
              <a16:creationId xmlns:a16="http://schemas.microsoft.com/office/drawing/2014/main" id="{71EC92D0-0388-F025-EAB4-732B3FA28F2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8525" y="819684"/>
          <a:ext cx="290958" cy="293235"/>
        </a:xfrm>
        <a:prstGeom prst="rect">
          <a:avLst/>
        </a:prstGeom>
      </xdr:spPr>
    </xdr:pic>
    <xdr:clientData/>
  </xdr:twoCellAnchor>
  <xdr:twoCellAnchor editAs="oneCell">
    <xdr:from>
      <xdr:col>5</xdr:col>
      <xdr:colOff>347671</xdr:colOff>
      <xdr:row>4</xdr:row>
      <xdr:rowOff>118020</xdr:rowOff>
    </xdr:from>
    <xdr:to>
      <xdr:col>6</xdr:col>
      <xdr:colOff>10112</xdr:colOff>
      <xdr:row>6</xdr:row>
      <xdr:rowOff>10606</xdr:rowOff>
    </xdr:to>
    <xdr:pic>
      <xdr:nvPicPr>
        <xdr:cNvPr id="48" name="Graphic 47" descr="Stars with solid fill">
          <a:extLst>
            <a:ext uri="{FF2B5EF4-FFF2-40B4-BE49-F238E27FC236}">
              <a16:creationId xmlns:a16="http://schemas.microsoft.com/office/drawing/2014/main" id="{ADFFCE19-AD61-15FE-5FC1-BE6D1C0CA7E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91292" y="853744"/>
          <a:ext cx="271165" cy="260448"/>
        </a:xfrm>
        <a:prstGeom prst="rect">
          <a:avLst/>
        </a:prstGeom>
      </xdr:spPr>
    </xdr:pic>
    <xdr:clientData/>
  </xdr:twoCellAnchor>
  <xdr:twoCellAnchor editAs="oneCell">
    <xdr:from>
      <xdr:col>0</xdr:col>
      <xdr:colOff>113862</xdr:colOff>
      <xdr:row>4</xdr:row>
      <xdr:rowOff>14671</xdr:rowOff>
    </xdr:from>
    <xdr:to>
      <xdr:col>1</xdr:col>
      <xdr:colOff>94813</xdr:colOff>
      <xdr:row>16</xdr:row>
      <xdr:rowOff>33721</xdr:rowOff>
    </xdr:to>
    <mc:AlternateContent xmlns:mc="http://schemas.openxmlformats.org/markup-compatibility/2006" xmlns:a14="http://schemas.microsoft.com/office/drawing/2010/main">
      <mc:Choice Requires="a14">
        <xdr:graphicFrame macro="">
          <xdr:nvGraphicFramePr>
            <xdr:cNvPr id="49" name="date (Month)">
              <a:extLst>
                <a:ext uri="{FF2B5EF4-FFF2-40B4-BE49-F238E27FC236}">
                  <a16:creationId xmlns:a16="http://schemas.microsoft.com/office/drawing/2014/main" id="{6D5C4091-E598-4330-9514-4D0C3348991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3862" y="761730"/>
              <a:ext cx="593539" cy="2260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223341</xdr:colOff>
      <xdr:row>5</xdr:row>
      <xdr:rowOff>119062</xdr:rowOff>
    </xdr:from>
    <xdr:to>
      <xdr:col>3</xdr:col>
      <xdr:colOff>210457</xdr:colOff>
      <xdr:row>8</xdr:row>
      <xdr:rowOff>61313</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ECD401AF-9D2F-4FB6-A619-18DEC8201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265906</xdr:colOff>
      <xdr:row>5</xdr:row>
      <xdr:rowOff>166686</xdr:rowOff>
    </xdr:from>
    <xdr:to>
      <xdr:col>5</xdr:col>
      <xdr:colOff>313531</xdr:colOff>
      <xdr:row>8</xdr:row>
      <xdr:rowOff>55563</xdr:rowOff>
    </xdr:to>
    <xdr:graphicFrame macro="">
      <xdr:nvGraphicFramePr>
        <xdr:cNvPr id="52" name="Chart 51">
          <a:hlinkClick xmlns:r="http://schemas.openxmlformats.org/officeDocument/2006/relationships" r:id="rId10"/>
          <a:extLst>
            <a:ext uri="{FF2B5EF4-FFF2-40B4-BE49-F238E27FC236}">
              <a16:creationId xmlns:a16="http://schemas.microsoft.com/office/drawing/2014/main" id="{218E0797-1D16-4991-BCF1-FB8685FC7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369957</xdr:colOff>
      <xdr:row>5</xdr:row>
      <xdr:rowOff>115956</xdr:rowOff>
    </xdr:from>
    <xdr:to>
      <xdr:col>7</xdr:col>
      <xdr:colOff>347871</xdr:colOff>
      <xdr:row>8</xdr:row>
      <xdr:rowOff>49695</xdr:rowOff>
    </xdr:to>
    <xdr:graphicFrame macro="">
      <xdr:nvGraphicFramePr>
        <xdr:cNvPr id="53" name="Chart 52">
          <a:hlinkClick xmlns:r="http://schemas.openxmlformats.org/officeDocument/2006/relationships" r:id="rId12"/>
          <a:extLst>
            <a:ext uri="{FF2B5EF4-FFF2-40B4-BE49-F238E27FC236}">
              <a16:creationId xmlns:a16="http://schemas.microsoft.com/office/drawing/2014/main" id="{95BE5690-7E77-419E-A0EE-DDE5BD26C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320842</xdr:colOff>
          <xdr:row>8</xdr:row>
          <xdr:rowOff>140737</xdr:rowOff>
        </xdr:from>
        <xdr:to>
          <xdr:col>12</xdr:col>
          <xdr:colOff>417763</xdr:colOff>
          <xdr:row>11</xdr:row>
          <xdr:rowOff>18248</xdr:rowOff>
        </xdr:to>
        <xdr:pic>
          <xdr:nvPicPr>
            <xdr:cNvPr id="57" name="Picture 56">
              <a:extLst>
                <a:ext uri="{FF2B5EF4-FFF2-40B4-BE49-F238E27FC236}">
                  <a16:creationId xmlns:a16="http://schemas.microsoft.com/office/drawing/2014/main" id="{7FF83C9E-5BB1-56A5-967E-FEB66DDBF986}"/>
                </a:ext>
              </a:extLst>
            </xdr:cNvPr>
            <xdr:cNvPicPr>
              <a:picLocks noChangeAspect="1" noChangeArrowheads="1"/>
              <a:extLst>
                <a:ext uri="{84589F7E-364E-4C9E-8A38-B11213B215E9}">
                  <a14:cameraTool cellRange="'Pivot Report'!$A$44:$D$46" spid="_x0000_s2063"/>
                </a:ext>
              </a:extLst>
            </xdr:cNvPicPr>
          </xdr:nvPicPr>
          <xdr:blipFill>
            <a:blip xmlns:r="http://schemas.openxmlformats.org/officeDocument/2006/relationships" r:embed="rId14"/>
            <a:srcRect/>
            <a:stretch>
              <a:fillRect/>
            </a:stretch>
          </xdr:blipFill>
          <xdr:spPr bwMode="auto">
            <a:xfrm>
              <a:off x="3970421" y="1611263"/>
              <a:ext cx="3746500" cy="428959"/>
            </a:xfrm>
            <a:prstGeom prst="rect">
              <a:avLst/>
            </a:prstGeom>
            <a:ln>
              <a:noFill/>
            </a:ln>
            <a:effectLst>
              <a:outerShdw blurRad="44450" dist="27940" dir="5400000" algn="ctr">
                <a:srgbClr val="000000">
                  <a:alpha val="32000"/>
                </a:srgbClr>
              </a:outerShdw>
              <a:softEdge rad="112500"/>
            </a:effectLst>
            <a:scene3d>
              <a:camera prst="orthographicFront">
                <a:rot lat="0" lon="0" rev="0"/>
              </a:camera>
              <a:lightRig rig="balanced" dir="t">
                <a:rot lat="0" lon="0" rev="8700000"/>
              </a:lightRig>
            </a:scene3d>
            <a:sp3d>
              <a:bevelT w="190500" h="38100"/>
            </a:sp3d>
            <a:extLst>
              <a:ext uri="{909E8E84-426E-40DD-AFC4-6F175D3DCCD1}">
                <a14:hiddenFill>
                  <a:solidFill>
                    <a:srgbClr val="FFFFFF"/>
                  </a:solidFill>
                </a14:hiddenFill>
              </a:ext>
            </a:extLst>
          </xdr:spPr>
        </xdr:pic>
        <xdr:clientData/>
      </xdr:twoCellAnchor>
    </mc:Choice>
    <mc:Fallback/>
  </mc:AlternateContent>
  <xdr:twoCellAnchor>
    <xdr:from>
      <xdr:col>6</xdr:col>
      <xdr:colOff>293414</xdr:colOff>
      <xdr:row>11</xdr:row>
      <xdr:rowOff>83207</xdr:rowOff>
    </xdr:from>
    <xdr:to>
      <xdr:col>12</xdr:col>
      <xdr:colOff>429172</xdr:colOff>
      <xdr:row>15</xdr:row>
      <xdr:rowOff>105103</xdr:rowOff>
    </xdr:to>
    <xdr:graphicFrame macro="">
      <xdr:nvGraphicFramePr>
        <xdr:cNvPr id="2" name="Chart 1">
          <a:extLst>
            <a:ext uri="{FF2B5EF4-FFF2-40B4-BE49-F238E27FC236}">
              <a16:creationId xmlns:a16="http://schemas.microsoft.com/office/drawing/2014/main" id="{6432AD58-F3A4-454A-A6B6-779E758E1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260584</xdr:colOff>
      <xdr:row>9</xdr:row>
      <xdr:rowOff>29309</xdr:rowOff>
    </xdr:from>
    <xdr:to>
      <xdr:col>3</xdr:col>
      <xdr:colOff>454269</xdr:colOff>
      <xdr:row>15</xdr:row>
      <xdr:rowOff>117232</xdr:rowOff>
    </xdr:to>
    <xdr:graphicFrame macro="">
      <xdr:nvGraphicFramePr>
        <xdr:cNvPr id="8" name="Chart 7">
          <a:extLst>
            <a:ext uri="{FF2B5EF4-FFF2-40B4-BE49-F238E27FC236}">
              <a16:creationId xmlns:a16="http://schemas.microsoft.com/office/drawing/2014/main" id="{B2F36BFF-B530-4C84-A592-6B8A4A9D4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449559</xdr:colOff>
      <xdr:row>3</xdr:row>
      <xdr:rowOff>182853</xdr:rowOff>
    </xdr:from>
    <xdr:to>
      <xdr:col>3</xdr:col>
      <xdr:colOff>56922</xdr:colOff>
      <xdr:row>5</xdr:row>
      <xdr:rowOff>65622</xdr:rowOff>
    </xdr:to>
    <xdr:sp macro="" textlink="">
      <xdr:nvSpPr>
        <xdr:cNvPr id="9" name="TextBox 8">
          <a:extLst>
            <a:ext uri="{FF2B5EF4-FFF2-40B4-BE49-F238E27FC236}">
              <a16:creationId xmlns:a16="http://schemas.microsoft.com/office/drawing/2014/main" id="{7CC878BB-B8DA-A484-4744-9B4AF7F7309F}"/>
            </a:ext>
          </a:extLst>
        </xdr:cNvPr>
        <xdr:cNvSpPr txBox="1"/>
      </xdr:nvSpPr>
      <xdr:spPr>
        <a:xfrm>
          <a:off x="1060136" y="739699"/>
          <a:ext cx="82851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50" baseline="0"/>
            <a:t>No. of Patient</a:t>
          </a:r>
        </a:p>
        <a:p>
          <a:endParaRPr lang="en-US" sz="1050"/>
        </a:p>
      </xdr:txBody>
    </xdr:sp>
    <xdr:clientData/>
  </xdr:twoCellAnchor>
  <xdr:twoCellAnchor>
    <xdr:from>
      <xdr:col>1</xdr:col>
      <xdr:colOff>405425</xdr:colOff>
      <xdr:row>15</xdr:row>
      <xdr:rowOff>11892</xdr:rowOff>
    </xdr:from>
    <xdr:to>
      <xdr:col>3</xdr:col>
      <xdr:colOff>395655</xdr:colOff>
      <xdr:row>16</xdr:row>
      <xdr:rowOff>80277</xdr:rowOff>
    </xdr:to>
    <xdr:sp macro="" textlink="">
      <xdr:nvSpPr>
        <xdr:cNvPr id="10" name="TextBox 9">
          <a:extLst>
            <a:ext uri="{FF2B5EF4-FFF2-40B4-BE49-F238E27FC236}">
              <a16:creationId xmlns:a16="http://schemas.microsoft.com/office/drawing/2014/main" id="{5C7728AC-6AFF-E2BF-2348-F16878F56843}"/>
            </a:ext>
          </a:extLst>
        </xdr:cNvPr>
        <xdr:cNvSpPr txBox="1"/>
      </xdr:nvSpPr>
      <xdr:spPr>
        <a:xfrm>
          <a:off x="1012816" y="2745153"/>
          <a:ext cx="1205013" cy="25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00" baseline="0"/>
            <a:t>Patient Attend Status</a:t>
          </a:r>
        </a:p>
        <a:p>
          <a:endParaRPr lang="en-US" sz="1000"/>
        </a:p>
      </xdr:txBody>
    </xdr:sp>
    <xdr:clientData/>
  </xdr:twoCellAnchor>
  <xdr:twoCellAnchor>
    <xdr:from>
      <xdr:col>3</xdr:col>
      <xdr:colOff>528601</xdr:colOff>
      <xdr:row>8</xdr:row>
      <xdr:rowOff>143564</xdr:rowOff>
    </xdr:from>
    <xdr:to>
      <xdr:col>6</xdr:col>
      <xdr:colOff>121479</xdr:colOff>
      <xdr:row>15</xdr:row>
      <xdr:rowOff>127000</xdr:rowOff>
    </xdr:to>
    <xdr:graphicFrame macro="">
      <xdr:nvGraphicFramePr>
        <xdr:cNvPr id="11" name="Chart 10">
          <a:extLst>
            <a:ext uri="{FF2B5EF4-FFF2-40B4-BE49-F238E27FC236}">
              <a16:creationId xmlns:a16="http://schemas.microsoft.com/office/drawing/2014/main" id="{CA517A2B-D7ED-42FE-82E4-B7290D4E4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107252</xdr:colOff>
      <xdr:row>15</xdr:row>
      <xdr:rowOff>6370</xdr:rowOff>
    </xdr:from>
    <xdr:to>
      <xdr:col>6</xdr:col>
      <xdr:colOff>97482</xdr:colOff>
      <xdr:row>16</xdr:row>
      <xdr:rowOff>74755</xdr:rowOff>
    </xdr:to>
    <xdr:sp macro="" textlink="">
      <xdr:nvSpPr>
        <xdr:cNvPr id="16" name="TextBox 15">
          <a:extLst>
            <a:ext uri="{FF2B5EF4-FFF2-40B4-BE49-F238E27FC236}">
              <a16:creationId xmlns:a16="http://schemas.microsoft.com/office/drawing/2014/main" id="{1651B6E3-E507-BC2C-3114-C6290AF7B335}"/>
            </a:ext>
          </a:extLst>
        </xdr:cNvPr>
        <xdr:cNvSpPr txBox="1"/>
      </xdr:nvSpPr>
      <xdr:spPr>
        <a:xfrm>
          <a:off x="2536817" y="2739631"/>
          <a:ext cx="1205013" cy="25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00" baseline="0"/>
            <a:t>Gender Wise Analysis</a:t>
          </a:r>
        </a:p>
        <a:p>
          <a:endParaRPr lang="en-US" sz="1000"/>
        </a:p>
      </xdr:txBody>
    </xdr:sp>
    <xdr:clientData/>
  </xdr:twoCellAnchor>
  <xdr:twoCellAnchor>
    <xdr:from>
      <xdr:col>7</xdr:col>
      <xdr:colOff>521369</xdr:colOff>
      <xdr:row>0</xdr:row>
      <xdr:rowOff>76869</xdr:rowOff>
    </xdr:from>
    <xdr:to>
      <xdr:col>12</xdr:col>
      <xdr:colOff>330868</xdr:colOff>
      <xdr:row>8</xdr:row>
      <xdr:rowOff>3343</xdr:rowOff>
    </xdr:to>
    <xdr:graphicFrame macro="">
      <xdr:nvGraphicFramePr>
        <xdr:cNvPr id="18" name="Chart 17">
          <a:extLst>
            <a:ext uri="{FF2B5EF4-FFF2-40B4-BE49-F238E27FC236}">
              <a16:creationId xmlns:a16="http://schemas.microsoft.com/office/drawing/2014/main" id="{37AEBB14-5BEB-4CB2-AF98-B5C2638DD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183058</xdr:colOff>
      <xdr:row>7</xdr:row>
      <xdr:rowOff>7626</xdr:rowOff>
    </xdr:from>
    <xdr:to>
      <xdr:col>12</xdr:col>
      <xdr:colOff>259521</xdr:colOff>
      <xdr:row>8</xdr:row>
      <xdr:rowOff>93870</xdr:rowOff>
    </xdr:to>
    <xdr:sp macro="" textlink="">
      <xdr:nvSpPr>
        <xdr:cNvPr id="19" name="TextBox 18">
          <a:extLst>
            <a:ext uri="{FF2B5EF4-FFF2-40B4-BE49-F238E27FC236}">
              <a16:creationId xmlns:a16="http://schemas.microsoft.com/office/drawing/2014/main" id="{FB6BD248-BE34-509E-7FF6-3A754CE3CE6F}"/>
            </a:ext>
          </a:extLst>
        </xdr:cNvPr>
        <xdr:cNvSpPr txBox="1"/>
      </xdr:nvSpPr>
      <xdr:spPr>
        <a:xfrm>
          <a:off x="5649580" y="1283148"/>
          <a:ext cx="1898637" cy="26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000" baseline="0"/>
            <a:t>No. of patient by Department Referal</a:t>
          </a:r>
        </a:p>
      </xdr:txBody>
    </xdr:sp>
    <xdr:clientData/>
  </xdr:twoCellAnchor>
  <xdr:twoCellAnchor editAs="oneCell">
    <xdr:from>
      <xdr:col>5</xdr:col>
      <xdr:colOff>464040</xdr:colOff>
      <xdr:row>0</xdr:row>
      <xdr:rowOff>117230</xdr:rowOff>
    </xdr:from>
    <xdr:to>
      <xdr:col>7</xdr:col>
      <xdr:colOff>248727</xdr:colOff>
      <xdr:row>2</xdr:row>
      <xdr:rowOff>136769</xdr:rowOff>
    </xdr:to>
    <mc:AlternateContent xmlns:mc="http://schemas.openxmlformats.org/markup-compatibility/2006">
      <mc:Choice xmlns:a14="http://schemas.microsoft.com/office/drawing/2010/main" Requires="a14">
        <xdr:graphicFrame macro="">
          <xdr:nvGraphicFramePr>
            <xdr:cNvPr id="20" name="date (Year)">
              <a:extLst>
                <a:ext uri="{FF2B5EF4-FFF2-40B4-BE49-F238E27FC236}">
                  <a16:creationId xmlns:a16="http://schemas.microsoft.com/office/drawing/2014/main" id="{B9852D94-0E15-4CA8-9B56-3EE627F9114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510324" y="117230"/>
              <a:ext cx="1003200" cy="38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254841</xdr:colOff>
      <xdr:row>2</xdr:row>
      <xdr:rowOff>62843</xdr:rowOff>
    </xdr:from>
    <xdr:to>
      <xdr:col>7</xdr:col>
      <xdr:colOff>22088</xdr:colOff>
      <xdr:row>3</xdr:row>
      <xdr:rowOff>110435</xdr:rowOff>
    </xdr:to>
    <xdr:sp macro="" textlink="">
      <xdr:nvSpPr>
        <xdr:cNvPr id="21" name="TextBox 20">
          <a:extLst>
            <a:ext uri="{FF2B5EF4-FFF2-40B4-BE49-F238E27FC236}">
              <a16:creationId xmlns:a16="http://schemas.microsoft.com/office/drawing/2014/main" id="{3B0D1098-2B4C-F6E5-E925-8BE508933370}"/>
            </a:ext>
          </a:extLst>
        </xdr:cNvPr>
        <xdr:cNvSpPr txBox="1"/>
      </xdr:nvSpPr>
      <xdr:spPr>
        <a:xfrm>
          <a:off x="3899189" y="427278"/>
          <a:ext cx="374638" cy="22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100" b="1" baseline="0"/>
            <a:t>Year</a:t>
          </a:r>
          <a:endParaRPr lang="en-US" sz="1050" b="1"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546806</xdr:colOff>
      <xdr:row>2</xdr:row>
      <xdr:rowOff>114651</xdr:rowOff>
    </xdr:from>
    <xdr:to>
      <xdr:col>11</xdr:col>
      <xdr:colOff>291041</xdr:colOff>
      <xdr:row>16</xdr:row>
      <xdr:rowOff>149931</xdr:rowOff>
    </xdr:to>
    <xdr:graphicFrame macro="">
      <xdr:nvGraphicFramePr>
        <xdr:cNvPr id="2" name="Chart 1">
          <a:extLst>
            <a:ext uri="{FF2B5EF4-FFF2-40B4-BE49-F238E27FC236}">
              <a16:creationId xmlns:a16="http://schemas.microsoft.com/office/drawing/2014/main" id="{B823D37E-4B0C-4120-BCDF-28E898667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13</xdr:row>
      <xdr:rowOff>102576</xdr:rowOff>
    </xdr:from>
    <xdr:to>
      <xdr:col>0</xdr:col>
      <xdr:colOff>556847</xdr:colOff>
      <xdr:row>16</xdr:row>
      <xdr:rowOff>159563</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B75A5F09-2EB4-4F7F-BD13-6E97FC6671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 y="2515576"/>
          <a:ext cx="556846" cy="6138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571500</xdr:colOff>
      <xdr:row>3</xdr:row>
      <xdr:rowOff>0</xdr:rowOff>
    </xdr:from>
    <xdr:to>
      <xdr:col>12</xdr:col>
      <xdr:colOff>68035</xdr:colOff>
      <xdr:row>17</xdr:row>
      <xdr:rowOff>108857</xdr:rowOff>
    </xdr:to>
    <xdr:graphicFrame macro="">
      <xdr:nvGraphicFramePr>
        <xdr:cNvPr id="2" name="Chart 1">
          <a:extLst>
            <a:ext uri="{FF2B5EF4-FFF2-40B4-BE49-F238E27FC236}">
              <a16:creationId xmlns:a16="http://schemas.microsoft.com/office/drawing/2014/main" id="{089DA511-3950-47B5-B1A9-EDEE31E86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21167</xdr:rowOff>
    </xdr:from>
    <xdr:to>
      <xdr:col>0</xdr:col>
      <xdr:colOff>571499</xdr:colOff>
      <xdr:row>18</xdr:row>
      <xdr:rowOff>79375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DE63C6E-12DE-850C-0A5A-D97353EA4F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799292"/>
          <a:ext cx="571499" cy="6138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577850</xdr:colOff>
      <xdr:row>2</xdr:row>
      <xdr:rowOff>171450</xdr:rowOff>
    </xdr:from>
    <xdr:to>
      <xdr:col>12</xdr:col>
      <xdr:colOff>120650</xdr:colOff>
      <xdr:row>17</xdr:row>
      <xdr:rowOff>152400</xdr:rowOff>
    </xdr:to>
    <xdr:graphicFrame macro="">
      <xdr:nvGraphicFramePr>
        <xdr:cNvPr id="2" name="Chart 1">
          <a:extLst>
            <a:ext uri="{FF2B5EF4-FFF2-40B4-BE49-F238E27FC236}">
              <a16:creationId xmlns:a16="http://schemas.microsoft.com/office/drawing/2014/main" id="{9970276F-A530-4C6B-897F-847995B0C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0</xdr:rowOff>
    </xdr:from>
    <xdr:to>
      <xdr:col>0</xdr:col>
      <xdr:colOff>571500</xdr:colOff>
      <xdr:row>17</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028A4CF-EC41-0518-1D6E-DD2BA2322A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2578100"/>
          <a:ext cx="571500" cy="666750"/>
        </a:xfrm>
        <a:prstGeom prst="rect">
          <a:avLst/>
        </a:prstGeom>
      </xdr:spPr>
    </xdr:pic>
    <xdr:clientData/>
  </xdr:twoCellAnchor>
  <xdr:twoCellAnchor>
    <xdr:from>
      <xdr:col>5</xdr:col>
      <xdr:colOff>137583</xdr:colOff>
      <xdr:row>2</xdr:row>
      <xdr:rowOff>52916</xdr:rowOff>
    </xdr:from>
    <xdr:to>
      <xdr:col>7</xdr:col>
      <xdr:colOff>79374</xdr:colOff>
      <xdr:row>4</xdr:row>
      <xdr:rowOff>10584</xdr:rowOff>
    </xdr:to>
    <xdr:sp macro="" textlink="">
      <xdr:nvSpPr>
        <xdr:cNvPr id="3" name="TextBox 2">
          <a:extLst>
            <a:ext uri="{FF2B5EF4-FFF2-40B4-BE49-F238E27FC236}">
              <a16:creationId xmlns:a16="http://schemas.microsoft.com/office/drawing/2014/main" id="{2DB041E6-831E-4F07-A6DA-CEE6D573C2C8}"/>
            </a:ext>
          </a:extLst>
        </xdr:cNvPr>
        <xdr:cNvSpPr txBox="1"/>
      </xdr:nvSpPr>
      <xdr:spPr>
        <a:xfrm>
          <a:off x="3180291" y="423333"/>
          <a:ext cx="1158875" cy="32808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No.</a:t>
          </a:r>
          <a:r>
            <a:rPr lang="en-US" sz="1600" b="1" baseline="0">
              <a:solidFill>
                <a:schemeClr val="bg1"/>
              </a:solidFill>
            </a:rPr>
            <a:t> Patient</a:t>
          </a:r>
          <a:endParaRPr lang="en-US" sz="16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5902778" createdVersion="5" refreshedVersion="8" minRefreshableVersion="3" recordCount="0" supportSubquery="1" supportAdvancedDrill="1" xr:uid="{800BB528-E3C2-4B81-9C2E-EB6EF6252F5A}">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5902778" createdVersion="5" refreshedVersion="8" minRefreshableVersion="3" recordCount="0" supportSubquery="1" supportAdvancedDrill="1" xr:uid="{5A70DB60-2188-4B09-83E5-5FBA7E9B41F7}">
  <cacheSource type="external" connectionId="3"/>
  <cacheFields count="2">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6018516" createdVersion="5" refreshedVersion="8" minRefreshableVersion="3" recordCount="0" supportSubquery="1" supportAdvancedDrill="1" xr:uid="{272FE41C-5EF9-4B00-958D-58BD564FF0FA}">
  <cacheSource type="external" connectionId="3"/>
  <cacheFields count="2">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6481478" createdVersion="5" refreshedVersion="8" minRefreshableVersion="3" recordCount="0" supportSubquery="1" supportAdvancedDrill="1" xr:uid="{F2D43788-6C87-4924-B4AB-2FBE17C3719D}">
  <cacheSource type="external" connectionId="3"/>
  <cacheFields count="3">
    <cacheField name="[calendar_table].[date (Day)].[date (Day)]" caption="date (Day)" numFmtId="0" hierarchy="2" level="1">
      <sharedItems count="30">
        <s v="1-Feb"/>
        <s v="2-Feb"/>
        <s v="3-Feb"/>
        <s v="4-Feb"/>
        <s v="5-Feb"/>
        <s v="6-Feb"/>
        <s v="7-Feb"/>
        <s v="8-Feb"/>
        <s v="9-Feb"/>
        <s v="10-Feb"/>
        <s v="11-Feb"/>
        <s v="12-Feb"/>
        <s v="13-Feb"/>
        <s v="14-Feb"/>
        <s v="15-Feb"/>
        <s v="16-Feb"/>
        <s v="17-Feb"/>
        <s v="18-Feb"/>
        <s v="19-Feb"/>
        <s v="20-Feb"/>
        <s v="21-Feb"/>
        <s v="22-Feb"/>
        <s v="23-Feb"/>
        <s v="24-Feb"/>
        <s v="25-Feb"/>
        <s v="26-Feb"/>
        <s v="27-Feb"/>
        <s v="28-Feb"/>
        <s v="29-Feb"/>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6828701" createdVersion="5" refreshedVersion="8" minRefreshableVersion="3" recordCount="0" supportSubquery="1" supportAdvancedDrill="1" xr:uid="{C3DA90CD-233D-4452-BA86-161487D1DF35}">
  <cacheSource type="external" connectionId="3"/>
  <cacheFields count="3">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7-Feb"/>
        <s v="28-Feb"/>
        <s v="29-Feb"/>
        <s v="1-Ja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7175925" createdVersion="5" refreshedVersion="8" minRefreshableVersion="3" recordCount="0" supportSubquery="1" supportAdvancedDrill="1" xr:uid="{185C35CF-6269-45ED-9E8E-E7F409C7246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Dummy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7523148" createdVersion="5" refreshedVersion="8" minRefreshableVersion="3" recordCount="0" supportSubquery="1" supportAdvancedDrill="1" xr:uid="{87177894-7AEF-4B8D-9296-7A674A14DCCC}">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798611" createdVersion="5" refreshedVersion="8" minRefreshableVersion="3" recordCount="0" supportSubquery="1" supportAdvancedDrill="1" xr:uid="{DA101C5D-60E5-49B0-8B05-1F143044B7AB}">
  <cacheSource type="external" connectionId="3"/>
  <cacheFields count="3">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3" level="32767"/>
    <cacheField name="[Hospital Emergency Room Data].[Patient Attend Status].[Patient Attend Status]" caption="Patient Attend Status" numFmtId="0" hierarchy="17" level="1">
      <sharedItems count="2">
        <s v="Delay"/>
        <s v="On Time"/>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8333333" createdVersion="5" refreshedVersion="8" minRefreshableVersion="3" recordCount="0" supportSubquery="1" supportAdvancedDrill="1" xr:uid="{DE387420-7B2A-44D0-88AD-AB104F0EA0F7}">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8680556" createdVersion="5" refreshedVersion="8" minRefreshableVersion="3" recordCount="0" supportSubquery="1" supportAdvancedDrill="1" xr:uid="{947EAFE5-1BD7-4A7E-B1EE-1F4EEBB1E1BA}">
  <cacheSource type="external" connectionId="3"/>
  <cacheFields count="3">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902778" createdVersion="5" refreshedVersion="8" minRefreshableVersion="3" recordCount="0" supportSubquery="1" supportAdvancedDrill="1" xr:uid="{BF2ECDA3-5802-47E0-95AB-CE379F48B4C5}">
  <cacheSource type="external" connectionId="3"/>
  <cacheFields count="2">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28009490742" createdVersion="5" refreshedVersion="8" minRefreshableVersion="3" recordCount="0" supportSubquery="1" supportAdvancedDrill="1" xr:uid="{8544AB45-065B-4D95-9803-EB5611B5EFFB}">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2">
        <s v="2023"/>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2"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33386458336" createdVersion="5" refreshedVersion="8" minRefreshableVersion="3" recordCount="0" supportSubquery="1" supportAdvancedDrill="1" xr:uid="{FF98AE8A-5438-4E60-BFF7-B6B94FCD3D9C}">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Month)].[date (Month)]" caption="date (Month)" numFmtId="0" hierarchy="1"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8.60877337963" createdVersion="3" refreshedVersion="8" minRefreshableVersion="3" recordCount="0" supportSubquery="1" supportAdvancedDrill="1" xr:uid="{A3C4EDFE-B423-4312-8A19-BDDB1933BF4F}">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Date.1]" caption="Patient AdmissionDate.1" attribute="1" time="1" defaultMemberUniqueName="[Hospital Emergency Room Data].[Patient AdmissionDate.1].[All]" allUniqueName="[Hospital Emergency Room Data].[Patient AdmissionDate.1].[All]" dimensionUniqueName="[Hospital Emergency Room Data]" displayFolder="" count="0" memberValueDatatype="7" unbalanced="0"/>
    <cacheHierarchy uniqueName="[Hospital Emergency Room Data].[Patient AdmissionDate.2]" caption="Patient AdmissionDate.2" attribute="1" time="1" defaultMemberUniqueName="[Hospital Emergency Room Data].[Patient AdmissionDate.2].[All]" allUniqueName="[Hospital Emergency Room Data].[Patient Admission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081934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9CE1E-6E5B-4928-8412-57C21623698E}" name="PivotTable13" cacheId="1106" applyNumberFormats="0" applyBorderFormats="0" applyFontFormats="0" applyPatternFormats="0" applyAlignmentFormats="0" applyWidthHeightFormats="1" dataCaption="Values" tag="4880a5ef-9037-4bdc-90c1-80a5b67ea8c3" updatedVersion="8" minRefreshableVersion="3" subtotalHiddenItems="1" rowGrandTotals="0" colGrandTotals="0" itemPrintTitles="1" createdVersion="5" indent="0" outline="1" outlineData="1" multipleFieldFilters="0" chartFormat="34">
  <location ref="E75:F76" firstHeaderRow="1" firstDataRow="2" firstDataCol="0"/>
  <pivotFields count="2">
    <pivotField allDrilled="1" subtotalTop="0" showAll="0" dataSourceSort="1" defaultSubtotal="0" defaultAttributeDrillState="1"/>
    <pivotField axis="axisCol" allDrilled="1" subtotalTop="0" showAll="0" dataSourceSort="1" defaultSubtotal="0">
      <items count="2">
        <item x="0" e="0"/>
        <item x="1" e="0"/>
      </items>
    </pivotField>
  </pivotFields>
  <colFields count="1">
    <field x="1"/>
  </colFields>
  <colItems count="2">
    <i>
      <x/>
    </i>
    <i>
      <x v="1"/>
    </i>
  </colItems>
  <formats count="1">
    <format dxfId="20">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F1507-E699-4B25-BCE9-572139CDA74C}" name="PivotTable12" cacheId="1103"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34">
  <location ref="A63:A6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1">
    <format dxfId="21">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03706-8B50-411D-A801-8F968DB7E4DA}" name="PivotTable11" cacheId="1100"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40">
  <location ref="E63:F7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3"/>
    </i>
    <i>
      <x v="1"/>
    </i>
    <i>
      <x v="7"/>
    </i>
    <i>
      <x/>
    </i>
    <i>
      <x v="6"/>
    </i>
    <i>
      <x v="5"/>
    </i>
    <i>
      <x v="2"/>
    </i>
    <i>
      <x v="4"/>
    </i>
    <i t="grand">
      <x/>
    </i>
  </rowItems>
  <colItems count="1">
    <i/>
  </colItems>
  <dataFields count="1">
    <dataField name="Count of Department Referral" fld="1" subtotal="count" baseField="0" baseItem="0"/>
  </dataFields>
  <formats count="2">
    <format dxfId="23">
      <pivotArea outline="0" collapsedLevelsAreSubtotals="1" fieldPosition="0"/>
    </format>
    <format dxfId="22">
      <pivotArea collapsedLevelsAreSubtotals="1" fieldPosition="0">
        <references count="1">
          <reference field="2" count="0"/>
        </references>
      </pivotArea>
    </format>
  </formats>
  <chartFormats count="1">
    <chartFormat chart="3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25D483-2E4B-430D-B8DC-8EAE804A6893}" name="PivotTable10" cacheId="1097"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34">
  <location ref="E56:F5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24">
      <pivotArea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F80E5D-1E9E-4544-96C0-BB970A7FB197}" name="PivotTable9" cacheId="1094"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29">
  <location ref="E49:F5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Attend Status" fld="1" subtotal="count" baseField="0" baseItem="0"/>
  </dataFields>
  <formats count="1">
    <format dxfId="25">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FCAF02-5FEB-4A5E-8A89-2B27575A45E9}" name="PivotTable4" cacheId="1091"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18">
  <location ref="A49:B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33">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ACB988-155A-4BBE-AADD-50D1A3E5F76A}" name="PivotTable8" cacheId="1088" applyNumberFormats="0" applyBorderFormats="0" applyFontFormats="0" applyPatternFormats="0" applyAlignmentFormats="0" applyWidthHeightFormats="1" dataCaption="Values" tag="4880a5ef-9037-4bdc-90c1-80a5b67ea8c3" updatedVersion="8" minRefreshableVersion="3" subtotalHiddenItems="1" itemPrintTitles="1" createdVersion="5" indent="0" outline="1" outlineData="1" multipleFieldFilters="0" chartFormat="13">
  <location ref="A38:C4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3">
    <format dxfId="30">
      <pivotArea outline="0" collapsedLevelsAreSubtotals="1" fieldPosition="0"/>
    </format>
    <format dxfId="31">
      <pivotArea collapsedLevelsAreSubtotals="1" fieldPosition="0">
        <references count="2">
          <reference field="4294967294" count="1" selected="0">
            <x v="0"/>
          </reference>
          <reference field="1" count="0"/>
        </references>
      </pivotArea>
    </format>
    <format dxfId="32">
      <pivotArea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73E329-CFB3-4ADF-912B-5D419586B5A3}" name="PivotTable7" cacheId="1085" applyNumberFormats="0" applyBorderFormats="0" applyFontFormats="0" applyPatternFormats="0" applyAlignmentFormats="0" applyWidthHeightFormats="1" dataCaption="Values" tag="f2141ddb-a3dd-4f91-8f66-a6ca1df0d55a" updatedVersion="8" minRefreshableVersion="3" subtotalHiddenItems="1" itemPrintTitles="1" createdVersion="5" indent="0" outline="1" outlineData="1" multipleFieldFilters="0" chartFormat="35">
  <location ref="I4:J33" firstHeaderRow="1" firstDataRow="1" firstDataCol="1"/>
  <pivotFields count="3">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2"/>
  </dataFields>
  <formats count="2">
    <format dxfId="28">
      <pivotArea collapsedLevelsAreSubtotals="1" fieldPosition="0">
        <references count="1">
          <reference field="0" count="1">
            <x v="28"/>
          </reference>
        </references>
      </pivotArea>
    </format>
    <format dxfId="29">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031018-FEA1-480E-9439-D9B9248D5B77}" name="PivotTable1" cacheId="1073" applyNumberFormats="0" applyBorderFormats="0" applyFontFormats="0" applyPatternFormats="0" applyAlignmentFormats="0" applyWidthHeightFormats="1" dataCaption="Values" tag="7e980dff-281d-4d12-a108-14b8fc3fd90d"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9E9BA7-4175-4E84-A754-0F97938E38F1}" name="PivotTable6" cacheId="1082" applyNumberFormats="0" applyBorderFormats="0" applyFontFormats="0" applyPatternFormats="0" applyAlignmentFormats="0" applyWidthHeightFormats="1" dataCaption="Values" tag="2a632064-fd6b-4e08-a494-b9145d1b08ec" updatedVersion="8" minRefreshableVersion="3" subtotalHiddenItems="1" itemPrintTitles="1" createdVersion="5" indent="0" outline="1" outlineData="1" multipleFieldFilters="0" chartFormat="26">
  <location ref="F4:G3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2">
    <format dxfId="0">
      <pivotArea collapsedLevelsAreSubtotals="1" fieldPosition="0">
        <references count="1">
          <reference field="0" count="1">
            <x v="29"/>
          </reference>
        </references>
      </pivotArea>
    </format>
    <format dxfId="1">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090874-275E-4C4F-AF75-7A1BE0E922D6}" name="PivotTable5" cacheId="1124" applyNumberFormats="0" applyBorderFormats="0" applyFontFormats="0" applyPatternFormats="0" applyAlignmentFormats="0" applyWidthHeightFormats="1" dataCaption="Values" tag="4166f96c-eae0-44e9-a163-f334298e7344" updatedVersion="8" minRefreshableVersion="3" subtotalHiddenItems="1" itemPrintTitles="1" createdVersion="5" indent="0" outline="1" outlineData="1" multipleFieldFilters="0" chartFormat="24">
  <location ref="C4:D34" firstHeaderRow="1" firstDataRow="1" firstDataCol="1"/>
  <pivotFields count="3">
    <pivotField dataField="1" subtotalTop="0" showAll="0" defaultSubtotal="0"/>
    <pivotField axis="axisRow" allDrilled="1" subtotalTop="0" showAll="0" hideNewItems="1"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1" baseItem="0">
      <extLst>
        <ext xmlns:x15="http://schemas.microsoft.com/office/spreadsheetml/2010/11/main" uri="{FABC7310-3BB5-11E1-824E-6D434824019B}">
          <x15:dataField isCountDistinct="1"/>
        </ext>
      </extLst>
    </dataField>
  </dataFields>
  <chartFormats count="4">
    <chartFormat chart="3"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0E2072-A803-413D-A437-E1A9BEBE884F}" name="PivotTable3" cacheId="1079" applyNumberFormats="0" applyBorderFormats="0" applyFontFormats="0" applyPatternFormats="0" applyAlignmentFormats="0" applyWidthHeightFormats="1" dataCaption="Values" tag="27eda6e1-90eb-4c2b-be3c-39b973e2ce56"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7">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57AE07-A31E-4679-808A-19A4C717C09D}" name="PivotTable2" cacheId="1076" applyNumberFormats="0" applyBorderFormats="0" applyFontFormats="0" applyPatternFormats="0" applyAlignmentFormats="0" applyWidthHeightFormats="1" dataCaption="Values" tag="e5af632e-3efe-4331-bdb1-b4ec2f3fa254"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6">
      <pivotArea outline="0" collapsedLevelsAreSubtotals="1" fieldPosition="0"/>
    </format>
  </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7A6BEDB-C189-4D30-933E-817087848978}" sourceName="[calenda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4"/>
    <pivotTable tabId="1" name="PivotTable9"/>
    <pivotTable tabId="1" name="PivotTable10"/>
    <pivotTable tabId="1" name="PivotTable11"/>
    <pivotTable tabId="1" name="PivotTable12"/>
    <pivotTable tabId="1" name="PivotTable13"/>
  </pivotTables>
  <data>
    <olap pivotCacheId="60819343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3E64828-C1AF-41FD-AC94-C42CEE6C63EE}"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08193433">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9358C3F-5520-4395-B6E2-4E89CD236A70}" cache="Slicer_date__Month" caption="date (Month)" showCaption="0" level="1" style="my" rowHeight="137160"/>
  <slicer name="date (Year)" xr10:uid="{B393498A-96CC-4D20-B723-FED6DB980D96}" cache="Slicer_date__Year" caption="date (Year)" columnCount="2" showCaption="0" level="1" style="my"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1AE7-2774-4F8B-B454-722727B42420}">
  <dimension ref="A4:J76"/>
  <sheetViews>
    <sheetView topLeftCell="A69" zoomScale="115" zoomScaleNormal="115" workbookViewId="0">
      <selection activeCell="E75" sqref="E75"/>
    </sheetView>
  </sheetViews>
  <sheetFormatPr defaultRowHeight="14.5" x14ac:dyDescent="0.35"/>
  <cols>
    <col min="1" max="1" width="15.54296875" customWidth="1"/>
    <col min="2" max="2" width="7.1796875" customWidth="1"/>
    <col min="3" max="3" width="9.26953125" customWidth="1"/>
    <col min="4" max="4" width="20.1796875" customWidth="1"/>
    <col min="5" max="5" width="12.81640625" customWidth="1"/>
    <col min="6" max="6" width="13.7265625" customWidth="1"/>
    <col min="7" max="7" width="21" customWidth="1"/>
    <col min="9" max="9" width="13.1796875" bestFit="1" customWidth="1"/>
    <col min="10" max="10" width="30" customWidth="1"/>
  </cols>
  <sheetData>
    <row r="4" spans="1:10" x14ac:dyDescent="0.35">
      <c r="A4" t="s">
        <v>0</v>
      </c>
      <c r="C4" s="2" t="s">
        <v>4</v>
      </c>
      <c r="D4" t="s">
        <v>0</v>
      </c>
      <c r="F4" s="2" t="s">
        <v>4</v>
      </c>
      <c r="G4" t="s">
        <v>1</v>
      </c>
      <c r="I4" s="2" t="s">
        <v>4</v>
      </c>
      <c r="J4" t="s">
        <v>2</v>
      </c>
    </row>
    <row r="5" spans="1:10" x14ac:dyDescent="0.35">
      <c r="A5" s="1">
        <v>431</v>
      </c>
      <c r="C5" s="5" t="s">
        <v>22</v>
      </c>
      <c r="D5" s="1">
        <v>13</v>
      </c>
      <c r="F5" s="5" t="s">
        <v>22</v>
      </c>
      <c r="G5" s="3">
        <v>35.692307692307693</v>
      </c>
      <c r="I5" s="5" t="s">
        <v>22</v>
      </c>
      <c r="J5" s="3">
        <v>4.166666666666667</v>
      </c>
    </row>
    <row r="6" spans="1:10" x14ac:dyDescent="0.35">
      <c r="C6" s="5" t="s">
        <v>23</v>
      </c>
      <c r="D6" s="1">
        <v>10</v>
      </c>
      <c r="F6" s="5" t="s">
        <v>23</v>
      </c>
      <c r="G6" s="3">
        <v>45.4</v>
      </c>
      <c r="I6" s="5" t="s">
        <v>23</v>
      </c>
      <c r="J6" s="3">
        <v>5.75</v>
      </c>
    </row>
    <row r="7" spans="1:10" x14ac:dyDescent="0.35">
      <c r="C7" s="5" t="s">
        <v>24</v>
      </c>
      <c r="D7" s="1">
        <v>8</v>
      </c>
      <c r="F7" s="5" t="s">
        <v>24</v>
      </c>
      <c r="G7" s="3">
        <v>29.375</v>
      </c>
      <c r="I7" s="5" t="s">
        <v>24</v>
      </c>
      <c r="J7" s="3">
        <v>4.75</v>
      </c>
    </row>
    <row r="8" spans="1:10" x14ac:dyDescent="0.35">
      <c r="A8" t="s">
        <v>1</v>
      </c>
      <c r="C8" s="5" t="s">
        <v>25</v>
      </c>
      <c r="D8" s="1">
        <v>12</v>
      </c>
      <c r="F8" s="5" t="s">
        <v>25</v>
      </c>
      <c r="G8" s="3">
        <v>34.583333333333336</v>
      </c>
      <c r="I8" s="5" t="s">
        <v>25</v>
      </c>
      <c r="J8" s="3">
        <v>7</v>
      </c>
    </row>
    <row r="9" spans="1:10" x14ac:dyDescent="0.35">
      <c r="A9" s="3">
        <v>36.670533642691417</v>
      </c>
      <c r="C9" s="5" t="s">
        <v>26</v>
      </c>
      <c r="D9" s="1">
        <v>19</v>
      </c>
      <c r="F9" s="5" t="s">
        <v>26</v>
      </c>
      <c r="G9" s="3">
        <v>38.684210526315788</v>
      </c>
      <c r="I9" s="5" t="s">
        <v>26</v>
      </c>
      <c r="J9" s="3">
        <v>3.1428571428571428</v>
      </c>
    </row>
    <row r="10" spans="1:10" x14ac:dyDescent="0.35">
      <c r="C10" s="5" t="s">
        <v>27</v>
      </c>
      <c r="D10" s="1">
        <v>9</v>
      </c>
      <c r="F10" s="5" t="s">
        <v>27</v>
      </c>
      <c r="G10" s="3">
        <v>34.777777777777779</v>
      </c>
      <c r="I10" s="5" t="s">
        <v>27</v>
      </c>
      <c r="J10" s="3">
        <v>8</v>
      </c>
    </row>
    <row r="11" spans="1:10" x14ac:dyDescent="0.35">
      <c r="C11" s="5" t="s">
        <v>28</v>
      </c>
      <c r="D11" s="1">
        <v>13</v>
      </c>
      <c r="F11" s="5" t="s">
        <v>28</v>
      </c>
      <c r="G11" s="3">
        <v>37.307692307692307</v>
      </c>
      <c r="I11" s="5" t="s">
        <v>28</v>
      </c>
      <c r="J11" s="3">
        <v>5.25</v>
      </c>
    </row>
    <row r="12" spans="1:10" x14ac:dyDescent="0.35">
      <c r="A12" t="s">
        <v>2</v>
      </c>
      <c r="C12" s="5" t="s">
        <v>29</v>
      </c>
      <c r="D12" s="1">
        <v>19</v>
      </c>
      <c r="F12" s="5" t="s">
        <v>29</v>
      </c>
      <c r="G12" s="3">
        <v>35.631578947368418</v>
      </c>
      <c r="I12" s="5" t="s">
        <v>29</v>
      </c>
      <c r="J12" s="3">
        <v>4.5714285714285712</v>
      </c>
    </row>
    <row r="13" spans="1:10" x14ac:dyDescent="0.35">
      <c r="A13" s="3">
        <v>4.7154471544715451</v>
      </c>
      <c r="C13" s="5" t="s">
        <v>30</v>
      </c>
      <c r="D13" s="1">
        <v>10</v>
      </c>
      <c r="F13" s="5" t="s">
        <v>30</v>
      </c>
      <c r="G13" s="3">
        <v>36.6</v>
      </c>
      <c r="I13" s="5" t="s">
        <v>30</v>
      </c>
      <c r="J13" s="3">
        <v>2.75</v>
      </c>
    </row>
    <row r="14" spans="1:10" x14ac:dyDescent="0.35">
      <c r="C14" s="5" t="s">
        <v>31</v>
      </c>
      <c r="D14" s="1">
        <v>20</v>
      </c>
      <c r="F14" s="5" t="s">
        <v>31</v>
      </c>
      <c r="G14" s="3">
        <v>39.700000000000003</v>
      </c>
      <c r="I14" s="5" t="s">
        <v>31</v>
      </c>
      <c r="J14" s="3">
        <v>4.5</v>
      </c>
    </row>
    <row r="15" spans="1:10" x14ac:dyDescent="0.35">
      <c r="C15" s="5" t="s">
        <v>32</v>
      </c>
      <c r="D15" s="1">
        <v>15</v>
      </c>
      <c r="F15" s="5" t="s">
        <v>32</v>
      </c>
      <c r="G15" s="3">
        <v>37.4</v>
      </c>
      <c r="I15" s="5" t="s">
        <v>32</v>
      </c>
      <c r="J15" s="3">
        <v>5.5</v>
      </c>
    </row>
    <row r="16" spans="1:10" x14ac:dyDescent="0.35">
      <c r="C16" s="5" t="s">
        <v>33</v>
      </c>
      <c r="D16" s="1">
        <v>13</v>
      </c>
      <c r="F16" s="5" t="s">
        <v>33</v>
      </c>
      <c r="G16" s="3">
        <v>27.76923076923077</v>
      </c>
      <c r="I16" s="5" t="s">
        <v>33</v>
      </c>
      <c r="J16" s="3">
        <v>5.6</v>
      </c>
    </row>
    <row r="17" spans="3:10" x14ac:dyDescent="0.35">
      <c r="C17" s="5" t="s">
        <v>34</v>
      </c>
      <c r="D17" s="1">
        <v>9</v>
      </c>
      <c r="F17" s="5" t="s">
        <v>34</v>
      </c>
      <c r="G17" s="3">
        <v>38.777777777777779</v>
      </c>
      <c r="I17" s="5" t="s">
        <v>34</v>
      </c>
      <c r="J17" s="3">
        <v>5.75</v>
      </c>
    </row>
    <row r="18" spans="3:10" x14ac:dyDescent="0.35">
      <c r="C18" s="5" t="s">
        <v>35</v>
      </c>
      <c r="D18" s="1">
        <v>19</v>
      </c>
      <c r="F18" s="5" t="s">
        <v>35</v>
      </c>
      <c r="G18" s="3">
        <v>31</v>
      </c>
      <c r="I18" s="5" t="s">
        <v>35</v>
      </c>
      <c r="J18" s="3">
        <v>3.4444444444444446</v>
      </c>
    </row>
    <row r="19" spans="3:10" x14ac:dyDescent="0.35">
      <c r="C19" s="5" t="s">
        <v>36</v>
      </c>
      <c r="D19" s="1">
        <v>14</v>
      </c>
      <c r="F19" s="5" t="s">
        <v>36</v>
      </c>
      <c r="G19" s="3">
        <v>35.928571428571431</v>
      </c>
      <c r="I19" s="5" t="s">
        <v>36</v>
      </c>
      <c r="J19" s="3">
        <v>1.5</v>
      </c>
    </row>
    <row r="20" spans="3:10" x14ac:dyDescent="0.35">
      <c r="C20" s="5" t="s">
        <v>37</v>
      </c>
      <c r="D20" s="1">
        <v>17</v>
      </c>
      <c r="F20" s="5" t="s">
        <v>37</v>
      </c>
      <c r="G20" s="3">
        <v>37.882352941176471</v>
      </c>
      <c r="I20" s="5" t="s">
        <v>37</v>
      </c>
      <c r="J20" s="3">
        <v>3.6666666666666665</v>
      </c>
    </row>
    <row r="21" spans="3:10" x14ac:dyDescent="0.35">
      <c r="C21" s="5" t="s">
        <v>38</v>
      </c>
      <c r="D21" s="1">
        <v>17</v>
      </c>
      <c r="F21" s="5" t="s">
        <v>38</v>
      </c>
      <c r="G21" s="3">
        <v>40.588235294117645</v>
      </c>
      <c r="I21" s="5" t="s">
        <v>38</v>
      </c>
      <c r="J21" s="3">
        <v>4.4285714285714288</v>
      </c>
    </row>
    <row r="22" spans="3:10" x14ac:dyDescent="0.35">
      <c r="C22" s="5" t="s">
        <v>39</v>
      </c>
      <c r="D22" s="1">
        <v>15</v>
      </c>
      <c r="F22" s="5" t="s">
        <v>39</v>
      </c>
      <c r="G22" s="3">
        <v>34.533333333333331</v>
      </c>
      <c r="I22" s="5" t="s">
        <v>39</v>
      </c>
      <c r="J22" s="3">
        <v>6</v>
      </c>
    </row>
    <row r="23" spans="3:10" x14ac:dyDescent="0.35">
      <c r="C23" s="5" t="s">
        <v>40</v>
      </c>
      <c r="D23" s="1">
        <v>9</v>
      </c>
      <c r="F23" s="5" t="s">
        <v>40</v>
      </c>
      <c r="G23" s="3">
        <v>40.333333333333336</v>
      </c>
      <c r="I23" s="5" t="s">
        <v>40</v>
      </c>
      <c r="J23" s="3">
        <v>2.6666666666666665</v>
      </c>
    </row>
    <row r="24" spans="3:10" x14ac:dyDescent="0.35">
      <c r="C24" s="5" t="s">
        <v>41</v>
      </c>
      <c r="D24" s="1">
        <v>14</v>
      </c>
      <c r="F24" s="5" t="s">
        <v>41</v>
      </c>
      <c r="G24" s="3">
        <v>35.285714285714285</v>
      </c>
      <c r="I24" s="5" t="s">
        <v>41</v>
      </c>
      <c r="J24" s="3">
        <v>7.5</v>
      </c>
    </row>
    <row r="25" spans="3:10" x14ac:dyDescent="0.35">
      <c r="C25" s="5" t="s">
        <v>42</v>
      </c>
      <c r="D25" s="1">
        <v>22</v>
      </c>
      <c r="F25" s="5" t="s">
        <v>42</v>
      </c>
      <c r="G25" s="3">
        <v>35.5</v>
      </c>
      <c r="I25" s="5" t="s">
        <v>42</v>
      </c>
      <c r="J25" s="3">
        <v>4.5</v>
      </c>
    </row>
    <row r="26" spans="3:10" x14ac:dyDescent="0.35">
      <c r="C26" s="5" t="s">
        <v>43</v>
      </c>
      <c r="D26" s="1">
        <v>16</v>
      </c>
      <c r="F26" s="5" t="s">
        <v>43</v>
      </c>
      <c r="G26" s="3">
        <v>38.5625</v>
      </c>
      <c r="I26" s="5" t="s">
        <v>43</v>
      </c>
      <c r="J26" s="3">
        <v>8</v>
      </c>
    </row>
    <row r="27" spans="3:10" x14ac:dyDescent="0.35">
      <c r="C27" s="5" t="s">
        <v>44</v>
      </c>
      <c r="D27" s="1">
        <v>22</v>
      </c>
      <c r="F27" s="5" t="s">
        <v>44</v>
      </c>
      <c r="G27" s="3">
        <v>42.727272727272727</v>
      </c>
      <c r="I27" s="5" t="s">
        <v>44</v>
      </c>
      <c r="J27" s="3">
        <v>4.3636363636363633</v>
      </c>
    </row>
    <row r="28" spans="3:10" x14ac:dyDescent="0.35">
      <c r="C28" s="5" t="s">
        <v>45</v>
      </c>
      <c r="D28" s="1">
        <v>12</v>
      </c>
      <c r="F28" s="5" t="s">
        <v>45</v>
      </c>
      <c r="G28" s="3">
        <v>37.416666666666664</v>
      </c>
      <c r="I28" s="5" t="s">
        <v>45</v>
      </c>
      <c r="J28" s="3">
        <v>0</v>
      </c>
    </row>
    <row r="29" spans="3:10" x14ac:dyDescent="0.35">
      <c r="C29" s="5" t="s">
        <v>46</v>
      </c>
      <c r="D29" s="1">
        <v>20</v>
      </c>
      <c r="F29" s="5" t="s">
        <v>46</v>
      </c>
      <c r="G29" s="3">
        <v>32.450000000000003</v>
      </c>
      <c r="I29" s="5" t="s">
        <v>46</v>
      </c>
      <c r="J29" s="3">
        <v>10</v>
      </c>
    </row>
    <row r="30" spans="3:10" x14ac:dyDescent="0.35">
      <c r="C30" s="5" t="s">
        <v>47</v>
      </c>
      <c r="D30" s="1">
        <v>18</v>
      </c>
      <c r="F30" s="5" t="s">
        <v>47</v>
      </c>
      <c r="G30" s="3">
        <v>40.055555555555557</v>
      </c>
      <c r="I30" s="5" t="s">
        <v>48</v>
      </c>
      <c r="J30" s="3">
        <v>6.75</v>
      </c>
    </row>
    <row r="31" spans="3:10" x14ac:dyDescent="0.35">
      <c r="C31" s="5" t="s">
        <v>48</v>
      </c>
      <c r="D31" s="1">
        <v>18</v>
      </c>
      <c r="F31" s="5" t="s">
        <v>48</v>
      </c>
      <c r="G31" s="3">
        <v>31.666666666666668</v>
      </c>
      <c r="I31" s="5" t="s">
        <v>49</v>
      </c>
      <c r="J31" s="3">
        <v>7</v>
      </c>
    </row>
    <row r="32" spans="3:10" x14ac:dyDescent="0.35">
      <c r="C32" s="5" t="s">
        <v>49</v>
      </c>
      <c r="D32" s="1">
        <v>13</v>
      </c>
      <c r="F32" s="5" t="s">
        <v>49</v>
      </c>
      <c r="G32" s="3">
        <v>39.769230769230766</v>
      </c>
      <c r="I32" s="5" t="s">
        <v>50</v>
      </c>
      <c r="J32" s="3">
        <v>3.3333333333333335</v>
      </c>
    </row>
    <row r="33" spans="1:10" x14ac:dyDescent="0.35">
      <c r="C33" s="5" t="s">
        <v>50</v>
      </c>
      <c r="D33" s="1">
        <v>15</v>
      </c>
      <c r="F33" s="5" t="s">
        <v>50</v>
      </c>
      <c r="G33" s="3">
        <v>36.733333333333334</v>
      </c>
      <c r="I33" s="5" t="s">
        <v>3</v>
      </c>
      <c r="J33" s="3">
        <v>4.7154471544715451</v>
      </c>
    </row>
    <row r="34" spans="1:10" x14ac:dyDescent="0.35">
      <c r="C34" s="5" t="s">
        <v>3</v>
      </c>
      <c r="D34" s="1">
        <v>431</v>
      </c>
      <c r="F34" s="5" t="s">
        <v>3</v>
      </c>
      <c r="G34" s="3">
        <v>36.670533642691417</v>
      </c>
    </row>
    <row r="38" spans="1:10" x14ac:dyDescent="0.35">
      <c r="A38" s="2" t="s">
        <v>4</v>
      </c>
      <c r="B38" t="s">
        <v>7</v>
      </c>
      <c r="C38" t="s">
        <v>8</v>
      </c>
    </row>
    <row r="39" spans="1:10" x14ac:dyDescent="0.35">
      <c r="A39" s="5" t="s">
        <v>5</v>
      </c>
      <c r="B39" s="7">
        <v>224</v>
      </c>
      <c r="C39" s="8">
        <v>0.51972157772621808</v>
      </c>
    </row>
    <row r="40" spans="1:10" x14ac:dyDescent="0.35">
      <c r="A40" s="5" t="s">
        <v>6</v>
      </c>
      <c r="B40" s="7">
        <v>207</v>
      </c>
      <c r="C40" s="8">
        <v>0.48027842227378192</v>
      </c>
    </row>
    <row r="41" spans="1:10" x14ac:dyDescent="0.35">
      <c r="A41" s="5" t="s">
        <v>3</v>
      </c>
      <c r="B41" s="3">
        <v>431</v>
      </c>
      <c r="C41" s="8">
        <v>1</v>
      </c>
    </row>
    <row r="44" spans="1:10" x14ac:dyDescent="0.35">
      <c r="A44" s="9" t="s">
        <v>9</v>
      </c>
      <c r="B44" s="10" t="s">
        <v>12</v>
      </c>
      <c r="C44" s="10" t="s">
        <v>10</v>
      </c>
      <c r="D44" s="10" t="s">
        <v>11</v>
      </c>
    </row>
    <row r="45" spans="1:10" x14ac:dyDescent="0.35">
      <c r="A45" s="11" t="str">
        <f>A40</f>
        <v>Not Admitted</v>
      </c>
      <c r="B45" s="11">
        <f t="shared" ref="B45:C45" si="0">B40</f>
        <v>207</v>
      </c>
      <c r="C45" s="12">
        <f t="shared" si="0"/>
        <v>0.48027842227378192</v>
      </c>
      <c r="D45" s="11"/>
    </row>
    <row r="46" spans="1:10" x14ac:dyDescent="0.35">
      <c r="A46" s="11" t="str">
        <f>A39</f>
        <v>Admitted</v>
      </c>
      <c r="B46" s="11">
        <f t="shared" ref="B46:C46" si="1">B39</f>
        <v>224</v>
      </c>
      <c r="C46" s="12">
        <f t="shared" si="1"/>
        <v>0.51972157772621808</v>
      </c>
      <c r="D46" s="11"/>
    </row>
    <row r="49" spans="1:6" x14ac:dyDescent="0.35">
      <c r="A49" s="2" t="s">
        <v>4</v>
      </c>
      <c r="B49" t="s">
        <v>13</v>
      </c>
      <c r="E49" s="2" t="s">
        <v>4</v>
      </c>
      <c r="F49" t="s">
        <v>53</v>
      </c>
    </row>
    <row r="50" spans="1:6" x14ac:dyDescent="0.35">
      <c r="A50" s="5" t="s">
        <v>14</v>
      </c>
      <c r="B50" s="3">
        <v>42</v>
      </c>
      <c r="E50" s="5" t="s">
        <v>51</v>
      </c>
      <c r="F50" s="3">
        <v>283</v>
      </c>
    </row>
    <row r="51" spans="1:6" x14ac:dyDescent="0.35">
      <c r="A51" s="5" t="s">
        <v>15</v>
      </c>
      <c r="B51" s="3">
        <v>46</v>
      </c>
      <c r="E51" s="5" t="s">
        <v>52</v>
      </c>
      <c r="F51" s="3">
        <v>148</v>
      </c>
    </row>
    <row r="52" spans="1:6" x14ac:dyDescent="0.35">
      <c r="A52" s="5" t="s">
        <v>16</v>
      </c>
      <c r="B52" s="3">
        <v>54</v>
      </c>
      <c r="E52" s="5" t="s">
        <v>3</v>
      </c>
      <c r="F52" s="3">
        <v>431</v>
      </c>
    </row>
    <row r="53" spans="1:6" x14ac:dyDescent="0.35">
      <c r="A53" s="5" t="s">
        <v>17</v>
      </c>
      <c r="B53" s="3">
        <v>68</v>
      </c>
    </row>
    <row r="54" spans="1:6" x14ac:dyDescent="0.35">
      <c r="A54" s="5" t="s">
        <v>18</v>
      </c>
      <c r="B54" s="3">
        <v>62</v>
      </c>
    </row>
    <row r="55" spans="1:6" x14ac:dyDescent="0.35">
      <c r="A55" s="5" t="s">
        <v>19</v>
      </c>
      <c r="B55" s="3">
        <v>52</v>
      </c>
    </row>
    <row r="56" spans="1:6" x14ac:dyDescent="0.35">
      <c r="A56" s="5" t="s">
        <v>20</v>
      </c>
      <c r="B56" s="3">
        <v>54</v>
      </c>
      <c r="E56" s="2" t="s">
        <v>4</v>
      </c>
      <c r="F56" t="s">
        <v>56</v>
      </c>
    </row>
    <row r="57" spans="1:6" x14ac:dyDescent="0.35">
      <c r="A57" s="5" t="s">
        <v>21</v>
      </c>
      <c r="B57" s="3">
        <v>53</v>
      </c>
      <c r="E57" s="5" t="s">
        <v>54</v>
      </c>
      <c r="F57" s="3">
        <v>194</v>
      </c>
    </row>
    <row r="58" spans="1:6" x14ac:dyDescent="0.35">
      <c r="A58" s="5" t="s">
        <v>3</v>
      </c>
      <c r="B58" s="3">
        <v>431</v>
      </c>
      <c r="E58" s="5" t="s">
        <v>55</v>
      </c>
      <c r="F58" s="3">
        <v>237</v>
      </c>
    </row>
    <row r="59" spans="1:6" x14ac:dyDescent="0.35">
      <c r="E59" s="5" t="s">
        <v>3</v>
      </c>
      <c r="F59" s="3">
        <v>431</v>
      </c>
    </row>
    <row r="63" spans="1:6" x14ac:dyDescent="0.35">
      <c r="A63" s="2" t="s">
        <v>4</v>
      </c>
      <c r="E63" s="2" t="s">
        <v>4</v>
      </c>
      <c r="F63" t="s">
        <v>57</v>
      </c>
    </row>
    <row r="64" spans="1:6" x14ac:dyDescent="0.35">
      <c r="A64" s="5" t="s">
        <v>54</v>
      </c>
      <c r="E64" s="5" t="s">
        <v>64</v>
      </c>
      <c r="F64" s="7">
        <v>6</v>
      </c>
    </row>
    <row r="65" spans="1:6" x14ac:dyDescent="0.35">
      <c r="A65" s="5" t="s">
        <v>55</v>
      </c>
      <c r="E65" s="5" t="s">
        <v>61</v>
      </c>
      <c r="F65" s="7">
        <v>6</v>
      </c>
    </row>
    <row r="66" spans="1:6" x14ac:dyDescent="0.35">
      <c r="A66" s="5" t="s">
        <v>3</v>
      </c>
      <c r="E66" s="5" t="s">
        <v>65</v>
      </c>
      <c r="F66" s="7">
        <v>6</v>
      </c>
    </row>
    <row r="67" spans="1:6" x14ac:dyDescent="0.35">
      <c r="E67" s="5" t="s">
        <v>63</v>
      </c>
      <c r="F67" s="7">
        <v>12</v>
      </c>
    </row>
    <row r="68" spans="1:6" x14ac:dyDescent="0.35">
      <c r="E68" s="5" t="s">
        <v>62</v>
      </c>
      <c r="F68" s="7">
        <v>14</v>
      </c>
    </row>
    <row r="69" spans="1:6" x14ac:dyDescent="0.35">
      <c r="E69" s="5" t="s">
        <v>59</v>
      </c>
      <c r="F69" s="7">
        <v>46</v>
      </c>
    </row>
    <row r="70" spans="1:6" x14ac:dyDescent="0.35">
      <c r="E70" s="5" t="s">
        <v>60</v>
      </c>
      <c r="F70" s="7">
        <v>89</v>
      </c>
    </row>
    <row r="71" spans="1:6" x14ac:dyDescent="0.35">
      <c r="E71" s="5" t="s">
        <v>58</v>
      </c>
      <c r="F71" s="7">
        <v>252</v>
      </c>
    </row>
    <row r="72" spans="1:6" x14ac:dyDescent="0.35">
      <c r="E72" s="5" t="s">
        <v>3</v>
      </c>
      <c r="F72" s="3">
        <v>431</v>
      </c>
    </row>
    <row r="75" spans="1:6" x14ac:dyDescent="0.35">
      <c r="E75" s="2" t="s">
        <v>66</v>
      </c>
    </row>
    <row r="76" spans="1:6" x14ac:dyDescent="0.35">
      <c r="E76" t="s">
        <v>67</v>
      </c>
      <c r="F76" t="s">
        <v>68</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3FE8-774F-429A-9E35-8E9E7942B9B7}">
  <dimension ref="A1:M17"/>
  <sheetViews>
    <sheetView tabSelected="1" zoomScale="148" zoomScaleNormal="148" workbookViewId="0"/>
  </sheetViews>
  <sheetFormatPr defaultRowHeight="14.5" x14ac:dyDescent="0.35"/>
  <sheetData>
    <row r="1" spans="1:13" x14ac:dyDescent="0.35">
      <c r="A1" s="4"/>
      <c r="B1" s="4"/>
      <c r="C1" s="4"/>
      <c r="D1" s="4"/>
      <c r="E1" s="4"/>
      <c r="F1" s="4"/>
      <c r="G1" s="4"/>
      <c r="H1" s="4"/>
      <c r="I1" s="4"/>
      <c r="J1" s="4"/>
      <c r="K1" s="4"/>
      <c r="L1" s="4"/>
      <c r="M1" s="4"/>
    </row>
    <row r="2" spans="1:13" x14ac:dyDescent="0.35">
      <c r="A2" s="4"/>
      <c r="B2" s="4"/>
      <c r="C2" s="4"/>
      <c r="D2" s="4"/>
      <c r="E2" s="4"/>
      <c r="F2" s="4"/>
      <c r="G2" s="4"/>
      <c r="H2" s="4"/>
      <c r="I2" s="4"/>
      <c r="J2" s="4"/>
      <c r="K2" s="4"/>
      <c r="L2" s="4"/>
      <c r="M2" s="4"/>
    </row>
    <row r="3" spans="1:13" x14ac:dyDescent="0.35">
      <c r="A3" s="4"/>
      <c r="B3" s="4"/>
      <c r="C3" s="4"/>
      <c r="D3" s="4"/>
      <c r="E3" s="4"/>
      <c r="F3" s="4"/>
      <c r="G3" s="4"/>
      <c r="H3" s="4"/>
      <c r="I3" s="4"/>
      <c r="J3" s="4"/>
      <c r="K3" s="4"/>
      <c r="L3" s="4"/>
      <c r="M3" s="4"/>
    </row>
    <row r="4" spans="1:13" x14ac:dyDescent="0.35">
      <c r="A4" s="4"/>
      <c r="B4" s="4"/>
      <c r="C4" s="4"/>
      <c r="D4" s="4"/>
      <c r="E4" s="4"/>
      <c r="F4" s="4"/>
      <c r="G4" s="4"/>
      <c r="H4" s="4"/>
      <c r="I4" s="4"/>
      <c r="J4" s="4"/>
      <c r="K4" s="4"/>
      <c r="L4" s="4"/>
      <c r="M4" s="4"/>
    </row>
    <row r="5" spans="1:13" x14ac:dyDescent="0.35">
      <c r="A5" s="4"/>
      <c r="B5" s="4"/>
      <c r="C5" s="4"/>
      <c r="D5" s="4"/>
      <c r="E5" s="4"/>
      <c r="F5" s="4"/>
      <c r="G5" s="4"/>
      <c r="H5" s="4"/>
      <c r="I5" s="4"/>
      <c r="J5" s="4"/>
      <c r="K5" s="4"/>
      <c r="L5" s="4"/>
      <c r="M5" s="4"/>
    </row>
    <row r="6" spans="1:13" x14ac:dyDescent="0.35">
      <c r="A6" s="4"/>
      <c r="B6" s="4"/>
      <c r="C6" s="4"/>
      <c r="D6" s="4"/>
      <c r="E6" s="4"/>
      <c r="F6" s="4"/>
      <c r="G6" s="4"/>
      <c r="H6" s="4"/>
      <c r="I6" s="4"/>
      <c r="J6" s="4"/>
      <c r="K6" s="4"/>
      <c r="L6" s="4"/>
      <c r="M6" s="4"/>
    </row>
    <row r="7" spans="1:13" x14ac:dyDescent="0.35">
      <c r="A7" s="4"/>
      <c r="B7" s="4"/>
      <c r="C7" s="4"/>
      <c r="D7" s="4"/>
      <c r="E7" s="4"/>
      <c r="F7" s="4"/>
      <c r="G7" s="4"/>
      <c r="H7" s="4"/>
      <c r="I7" s="4"/>
      <c r="J7" s="4"/>
      <c r="K7" s="4"/>
      <c r="L7" s="4"/>
      <c r="M7" s="4"/>
    </row>
    <row r="8" spans="1:13" x14ac:dyDescent="0.35">
      <c r="A8" s="4"/>
      <c r="B8" s="4"/>
      <c r="C8" s="4"/>
      <c r="D8" s="4"/>
      <c r="E8" s="4"/>
      <c r="F8" s="4"/>
      <c r="G8" s="4"/>
      <c r="H8" s="4"/>
      <c r="I8" s="4"/>
      <c r="J8" s="4"/>
      <c r="K8" s="4"/>
      <c r="L8" s="4"/>
      <c r="M8" s="4"/>
    </row>
    <row r="9" spans="1:13" x14ac:dyDescent="0.35">
      <c r="A9" s="4"/>
      <c r="B9" s="4"/>
      <c r="C9" s="4"/>
      <c r="D9" s="4"/>
      <c r="E9" s="4"/>
      <c r="F9" s="4"/>
      <c r="G9" s="4"/>
      <c r="H9" s="4"/>
      <c r="I9" s="4"/>
      <c r="J9" s="4"/>
      <c r="K9" s="4"/>
      <c r="L9" s="4"/>
      <c r="M9" s="4"/>
    </row>
    <row r="10" spans="1:13" x14ac:dyDescent="0.35">
      <c r="A10" s="4"/>
      <c r="B10" s="4"/>
      <c r="C10" s="4"/>
      <c r="D10" s="4"/>
      <c r="E10" s="4"/>
      <c r="F10" s="4"/>
      <c r="G10" s="4"/>
      <c r="H10" s="4"/>
      <c r="I10" s="4"/>
      <c r="J10" s="4"/>
      <c r="K10" s="4"/>
      <c r="L10" s="4"/>
      <c r="M10" s="4"/>
    </row>
    <row r="11" spans="1:13" x14ac:dyDescent="0.35">
      <c r="A11" s="4"/>
      <c r="B11" s="4"/>
      <c r="C11" s="4"/>
      <c r="D11" s="4"/>
      <c r="E11" s="4"/>
      <c r="F11" s="4"/>
      <c r="G11" s="4"/>
      <c r="H11" s="4"/>
      <c r="I11" s="4"/>
      <c r="J11" s="4"/>
      <c r="K11" s="4"/>
      <c r="L11" s="4"/>
      <c r="M11" s="4"/>
    </row>
    <row r="12" spans="1:13" x14ac:dyDescent="0.35">
      <c r="A12" s="4"/>
      <c r="B12" s="4"/>
      <c r="C12" s="4"/>
      <c r="D12" s="4"/>
      <c r="E12" s="4"/>
      <c r="F12" s="4"/>
      <c r="G12" s="4"/>
      <c r="H12" s="4"/>
      <c r="I12" s="4"/>
      <c r="J12" s="4"/>
      <c r="K12" s="4"/>
      <c r="L12" s="4"/>
      <c r="M12" s="4"/>
    </row>
    <row r="13" spans="1:13" x14ac:dyDescent="0.35">
      <c r="A13" s="4"/>
      <c r="B13" s="4"/>
      <c r="C13" s="4"/>
      <c r="D13" s="4"/>
      <c r="E13" s="4"/>
      <c r="F13" s="4"/>
      <c r="G13" s="4"/>
      <c r="H13" s="4"/>
      <c r="I13" s="4"/>
      <c r="J13" s="4"/>
      <c r="K13" s="4"/>
      <c r="L13" s="4"/>
      <c r="M13" s="4"/>
    </row>
    <row r="14" spans="1:13" x14ac:dyDescent="0.35">
      <c r="A14" s="4"/>
      <c r="B14" s="4"/>
      <c r="C14" s="4"/>
      <c r="D14" s="4"/>
      <c r="E14" s="4"/>
      <c r="F14" s="4"/>
      <c r="G14" s="4"/>
      <c r="H14" s="4"/>
      <c r="I14" s="4"/>
      <c r="J14" s="4"/>
      <c r="K14" s="4"/>
      <c r="L14" s="4"/>
      <c r="M14" s="4"/>
    </row>
    <row r="15" spans="1:13" x14ac:dyDescent="0.35">
      <c r="A15" s="4"/>
      <c r="B15" s="4"/>
      <c r="C15" s="4"/>
      <c r="D15" s="4"/>
      <c r="E15" s="4"/>
      <c r="F15" s="4"/>
      <c r="G15" s="4"/>
      <c r="H15" s="4"/>
      <c r="I15" s="4"/>
      <c r="J15" s="4"/>
      <c r="K15" s="4"/>
      <c r="L15" s="4"/>
      <c r="M15" s="4"/>
    </row>
    <row r="16" spans="1:13" x14ac:dyDescent="0.35">
      <c r="A16" s="4"/>
      <c r="B16" s="4"/>
      <c r="C16" s="4"/>
      <c r="D16" s="4"/>
      <c r="E16" s="4"/>
      <c r="F16" s="4"/>
      <c r="G16" s="4"/>
      <c r="H16" s="4"/>
      <c r="I16" s="4"/>
      <c r="J16" s="4"/>
      <c r="K16" s="4"/>
      <c r="L16" s="4"/>
      <c r="M16" s="4"/>
    </row>
    <row r="17" spans="1:13" x14ac:dyDescent="0.35">
      <c r="A17" s="4"/>
      <c r="B17" s="4"/>
      <c r="C17" s="4"/>
      <c r="D17" s="4"/>
      <c r="E17" s="4"/>
      <c r="F17" s="4"/>
      <c r="G17" s="4"/>
      <c r="H17" s="4"/>
      <c r="I17" s="4"/>
      <c r="J17" s="4"/>
      <c r="K17" s="4"/>
      <c r="L17" s="4"/>
      <c r="M17"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0657-020A-4209-B5F1-0497DDF7E84D}">
  <dimension ref="A1:N21"/>
  <sheetViews>
    <sheetView topLeftCell="A2" zoomScale="144" zoomScaleNormal="144" workbookViewId="0">
      <selection activeCell="C18" sqref="C18"/>
    </sheetView>
  </sheetViews>
  <sheetFormatPr defaultRowHeight="14.5" x14ac:dyDescent="0.35"/>
  <sheetData>
    <row r="1" spans="1:14" x14ac:dyDescent="0.35">
      <c r="A1" s="6"/>
      <c r="B1" s="6"/>
      <c r="C1" s="6"/>
      <c r="D1" s="6"/>
      <c r="E1" s="6"/>
      <c r="F1" s="6"/>
      <c r="G1" s="6"/>
      <c r="H1" s="6"/>
      <c r="I1" s="6"/>
      <c r="J1" s="6"/>
      <c r="K1" s="6"/>
      <c r="L1" s="6"/>
      <c r="M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row>
    <row r="21" spans="1:14" x14ac:dyDescent="0.35">
      <c r="A21" s="6"/>
      <c r="B21" s="6"/>
      <c r="C21" s="6"/>
      <c r="D21" s="6"/>
      <c r="E21" s="6"/>
      <c r="F21" s="6"/>
      <c r="G21" s="6"/>
      <c r="H21" s="6"/>
      <c r="I21" s="6"/>
      <c r="J21" s="6"/>
      <c r="K21" s="6"/>
      <c r="L21" s="6"/>
      <c r="M21"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488A-CAF0-4A29-8463-73F408579BC7}">
  <dimension ref="A1:N20"/>
  <sheetViews>
    <sheetView topLeftCell="A2" zoomScale="140" zoomScaleNormal="140" workbookViewId="0">
      <selection activeCell="M1" sqref="M1:N20"/>
    </sheetView>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9052-0B9F-406F-B060-C39E7FD9995D}">
  <dimension ref="A1:N20"/>
  <sheetViews>
    <sheetView topLeftCell="A2" zoomScale="140" zoomScaleNormal="140" workbookViewId="0">
      <selection activeCell="A20" sqref="A20:N20"/>
    </sheetView>
  </sheetViews>
  <sheetFormatPr defaultRowHeight="14.5" x14ac:dyDescent="0.35"/>
  <sheetData>
    <row r="1" spans="1:14" x14ac:dyDescent="0.35">
      <c r="A1" s="6"/>
      <c r="B1" s="6"/>
      <c r="C1" s="6"/>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x14ac:dyDescent="0.35">
      <c r="A3" s="6"/>
      <c r="B3" s="6"/>
      <c r="C3" s="6"/>
      <c r="D3" s="6"/>
      <c r="E3" s="6"/>
      <c r="F3" s="6"/>
      <c r="G3" s="6"/>
      <c r="H3" s="6"/>
      <c r="I3" s="6"/>
      <c r="J3" s="6"/>
      <c r="K3" s="6"/>
      <c r="L3" s="6"/>
      <c r="M3" s="6"/>
      <c r="N3" s="6"/>
    </row>
    <row r="4" spans="1:14" x14ac:dyDescent="0.35">
      <c r="A4" s="6"/>
      <c r="B4" s="6"/>
      <c r="C4" s="6"/>
      <c r="D4" s="6"/>
      <c r="E4" s="6"/>
      <c r="F4" s="6"/>
      <c r="G4" s="6"/>
      <c r="H4" s="6"/>
      <c r="I4" s="6"/>
      <c r="J4" s="6"/>
      <c r="K4" s="6"/>
      <c r="L4" s="6"/>
      <c r="M4" s="6"/>
      <c r="N4" s="6"/>
    </row>
    <row r="5" spans="1:14" x14ac:dyDescent="0.35">
      <c r="A5" s="6"/>
      <c r="B5" s="6"/>
      <c r="C5" s="6"/>
      <c r="D5" s="6"/>
      <c r="E5" s="6"/>
      <c r="F5" s="6"/>
      <c r="G5" s="6"/>
      <c r="H5" s="6"/>
      <c r="I5" s="6"/>
      <c r="J5" s="6"/>
      <c r="K5" s="6"/>
      <c r="L5" s="6"/>
      <c r="M5" s="6"/>
      <c r="N5" s="6"/>
    </row>
    <row r="6" spans="1:14" x14ac:dyDescent="0.35">
      <c r="A6" s="6"/>
      <c r="B6" s="6"/>
      <c r="C6" s="6"/>
      <c r="D6" s="6"/>
      <c r="E6" s="6"/>
      <c r="F6" s="6"/>
      <c r="G6" s="6"/>
      <c r="H6" s="6"/>
      <c r="I6" s="6"/>
      <c r="J6" s="6"/>
      <c r="K6" s="6"/>
      <c r="L6" s="6"/>
      <c r="M6" s="6"/>
      <c r="N6" s="6"/>
    </row>
    <row r="7" spans="1:14" x14ac:dyDescent="0.35">
      <c r="A7" s="6"/>
      <c r="B7" s="6"/>
      <c r="C7" s="6"/>
      <c r="D7" s="6"/>
      <c r="E7" s="6"/>
      <c r="F7" s="6"/>
      <c r="G7" s="6"/>
      <c r="H7" s="6"/>
      <c r="I7" s="6"/>
      <c r="J7" s="6"/>
      <c r="K7" s="6"/>
      <c r="L7" s="6"/>
      <c r="M7" s="6"/>
      <c r="N7" s="6"/>
    </row>
    <row r="8" spans="1:14" x14ac:dyDescent="0.35">
      <c r="A8" s="6"/>
      <c r="B8" s="6"/>
      <c r="C8" s="6"/>
      <c r="D8" s="6"/>
      <c r="E8" s="6"/>
      <c r="F8" s="6"/>
      <c r="G8" s="6"/>
      <c r="H8" s="6"/>
      <c r="I8" s="6"/>
      <c r="J8" s="6"/>
      <c r="K8" s="6"/>
      <c r="L8" s="6"/>
      <c r="M8" s="6"/>
      <c r="N8" s="6"/>
    </row>
    <row r="9" spans="1:14" x14ac:dyDescent="0.35">
      <c r="A9" s="6"/>
      <c r="B9" s="6"/>
      <c r="C9" s="6"/>
      <c r="D9" s="6"/>
      <c r="E9" s="6"/>
      <c r="F9" s="6"/>
      <c r="G9" s="6"/>
      <c r="H9" s="6"/>
      <c r="I9" s="6"/>
      <c r="J9" s="6"/>
      <c r="K9" s="6"/>
      <c r="L9" s="6"/>
      <c r="M9" s="6"/>
      <c r="N9" s="6"/>
    </row>
    <row r="10" spans="1:14" x14ac:dyDescent="0.35">
      <c r="A10" s="6"/>
      <c r="B10" s="6"/>
      <c r="C10" s="6"/>
      <c r="D10" s="6"/>
      <c r="E10" s="6"/>
      <c r="F10" s="6"/>
      <c r="G10" s="6"/>
      <c r="H10" s="6"/>
      <c r="I10" s="6"/>
      <c r="J10" s="6"/>
      <c r="K10" s="6"/>
      <c r="L10" s="6"/>
      <c r="M10" s="6"/>
      <c r="N10" s="6"/>
    </row>
    <row r="11" spans="1:14" x14ac:dyDescent="0.35">
      <c r="A11" s="6"/>
      <c r="B11" s="6"/>
      <c r="C11" s="6"/>
      <c r="D11" s="6"/>
      <c r="E11" s="6"/>
      <c r="F11" s="6"/>
      <c r="G11" s="6"/>
      <c r="H11" s="6"/>
      <c r="I11" s="6"/>
      <c r="J11" s="6"/>
      <c r="K11" s="6"/>
      <c r="L11" s="6"/>
      <c r="M11" s="6"/>
      <c r="N11" s="6"/>
    </row>
    <row r="12" spans="1:14" x14ac:dyDescent="0.35">
      <c r="A12" s="6"/>
      <c r="B12" s="6"/>
      <c r="C12" s="6"/>
      <c r="D12" s="6"/>
      <c r="E12" s="6"/>
      <c r="F12" s="6"/>
      <c r="G12" s="6"/>
      <c r="H12" s="6"/>
      <c r="I12" s="6"/>
      <c r="J12" s="6"/>
      <c r="K12" s="6"/>
      <c r="L12" s="6"/>
      <c r="M12" s="6"/>
      <c r="N12" s="6"/>
    </row>
    <row r="13" spans="1:14" x14ac:dyDescent="0.35">
      <c r="A13" s="6"/>
      <c r="B13" s="6"/>
      <c r="C13" s="6"/>
      <c r="D13" s="6"/>
      <c r="E13" s="6"/>
      <c r="F13" s="6"/>
      <c r="G13" s="6"/>
      <c r="H13" s="6"/>
      <c r="I13" s="6"/>
      <c r="J13" s="6"/>
      <c r="K13" s="6"/>
      <c r="L13" s="6"/>
      <c r="M13" s="6"/>
      <c r="N13" s="6"/>
    </row>
    <row r="14" spans="1:14" x14ac:dyDescent="0.35">
      <c r="A14" s="6"/>
      <c r="B14" s="6"/>
      <c r="C14" s="6"/>
      <c r="D14" s="6"/>
      <c r="E14" s="6"/>
      <c r="F14" s="6"/>
      <c r="G14" s="6"/>
      <c r="H14" s="6"/>
      <c r="I14" s="6"/>
      <c r="J14" s="6"/>
      <c r="K14" s="6"/>
      <c r="L14" s="6"/>
      <c r="M14" s="6"/>
      <c r="N14" s="6"/>
    </row>
    <row r="15" spans="1:14" x14ac:dyDescent="0.35">
      <c r="A15" s="6"/>
      <c r="B15" s="6"/>
      <c r="C15" s="6"/>
      <c r="D15" s="6"/>
      <c r="E15" s="6"/>
      <c r="F15" s="6"/>
      <c r="G15" s="6"/>
      <c r="H15" s="6"/>
      <c r="I15" s="6"/>
      <c r="J15" s="6"/>
      <c r="K15" s="6"/>
      <c r="L15" s="6"/>
      <c r="M15" s="6"/>
      <c r="N15" s="6"/>
    </row>
    <row r="16" spans="1:14" x14ac:dyDescent="0.35">
      <c r="A16" s="6"/>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DAFEA7F-79A6-4115-A8BE-DFFF5EA6EE05}">
  <ds:schemaRefs/>
</ds:datastoreItem>
</file>

<file path=customXml/itemProps2.xml><?xml version="1.0" encoding="utf-8"?>
<ds:datastoreItem xmlns:ds="http://schemas.openxmlformats.org/officeDocument/2006/customXml" ds:itemID="{57CED150-D2E1-4C93-BC7F-CE915B1E13EB}">
  <ds:schemaRefs>
    <ds:schemaRef ds:uri="http://schemas.microsoft.com/DataMashup"/>
  </ds:schemaRefs>
</ds:datastoreItem>
</file>

<file path=customXml/itemProps3.xml><?xml version="1.0" encoding="utf-8"?>
<ds:datastoreItem xmlns:ds="http://schemas.openxmlformats.org/officeDocument/2006/customXml" ds:itemID="{455E5EE9-213E-4A6B-81CC-BDE40ABB8D57}">
  <ds:schemaRefs/>
</ds:datastoreItem>
</file>

<file path=customXml/itemProps4.xml><?xml version="1.0" encoding="utf-8"?>
<ds:datastoreItem xmlns:ds="http://schemas.openxmlformats.org/officeDocument/2006/customXml" ds:itemID="{A96DEA6C-93C3-4F1A-8AB2-7AB3AC8AFD79}">
  <ds:schemaRefs/>
</ds:datastoreItem>
</file>

<file path=customXml/itemProps5.xml><?xml version="1.0" encoding="utf-8"?>
<ds:datastoreItem xmlns:ds="http://schemas.openxmlformats.org/officeDocument/2006/customXml" ds:itemID="{D8C658AC-5DD3-4D56-83D8-B9BE41B42463}">
  <ds:schemaRefs/>
</ds:datastoreItem>
</file>

<file path=customXml/itemProps6.xml><?xml version="1.0" encoding="utf-8"?>
<ds:datastoreItem xmlns:ds="http://schemas.openxmlformats.org/officeDocument/2006/customXml" ds:itemID="{3164B578-BD0D-4F1B-8372-2A02CD454774}">
  <ds:schemaRefs/>
</ds:datastoreItem>
</file>

<file path=customXml/itemProps7.xml><?xml version="1.0" encoding="utf-8"?>
<ds:datastoreItem xmlns:ds="http://schemas.openxmlformats.org/officeDocument/2006/customXml" ds:itemID="{47371EEF-2FE0-4B56-B4DE-00C111D2EA5C}">
  <ds:schemaRefs/>
</ds:datastoreItem>
</file>

<file path=customXml/itemProps8.xml><?xml version="1.0" encoding="utf-8"?>
<ds:datastoreItem xmlns:ds="http://schemas.openxmlformats.org/officeDocument/2006/customXml" ds:itemID="{07FE4A3F-D952-44A5-B62B-CEDEDAD5F36A}">
  <ds:schemaRefs/>
</ds:datastoreItem>
</file>

<file path=customXml/itemProps9.xml><?xml version="1.0" encoding="utf-8"?>
<ds:datastoreItem xmlns:ds="http://schemas.openxmlformats.org/officeDocument/2006/customXml" ds:itemID="{E2154C62-41BD-42B1-AEFB-CCF2BA1A218A}">
  <ds:schemaRefs/>
</ds:datastoreItem>
</file>

<file path=customXml/itemProps10.xml><?xml version="1.0" encoding="utf-8"?>
<ds:datastoreItem xmlns:ds="http://schemas.openxmlformats.org/officeDocument/2006/customXml" ds:itemID="{DE098250-F56D-4BFA-960E-A7F284EBBD6E}">
  <ds:schemaRefs/>
</ds:datastoreItem>
</file>

<file path=customXml/itemProps11.xml><?xml version="1.0" encoding="utf-8"?>
<ds:datastoreItem xmlns:ds="http://schemas.openxmlformats.org/officeDocument/2006/customXml" ds:itemID="{B8808938-F08E-433E-A100-82BCB7F7C130}">
  <ds:schemaRefs/>
</ds:datastoreItem>
</file>

<file path=customXml/itemProps12.xml><?xml version="1.0" encoding="utf-8"?>
<ds:datastoreItem xmlns:ds="http://schemas.openxmlformats.org/officeDocument/2006/customXml" ds:itemID="{061D9D80-517A-47F1-AAC3-621333AEBA9F}">
  <ds:schemaRefs/>
</ds:datastoreItem>
</file>

<file path=customXml/itemProps13.xml><?xml version="1.0" encoding="utf-8"?>
<ds:datastoreItem xmlns:ds="http://schemas.openxmlformats.org/officeDocument/2006/customXml" ds:itemID="{3813A1A9-70A7-40E9-B74C-AD562A2608B1}">
  <ds:schemaRefs/>
</ds:datastoreItem>
</file>

<file path=customXml/itemProps14.xml><?xml version="1.0" encoding="utf-8"?>
<ds:datastoreItem xmlns:ds="http://schemas.openxmlformats.org/officeDocument/2006/customXml" ds:itemID="{A9B9E0FB-8BB9-4916-8E14-A705B14017BA}">
  <ds:schemaRefs/>
</ds:datastoreItem>
</file>

<file path=customXml/itemProps15.xml><?xml version="1.0" encoding="utf-8"?>
<ds:datastoreItem xmlns:ds="http://schemas.openxmlformats.org/officeDocument/2006/customXml" ds:itemID="{4839CFCD-D7BE-4FEE-AD7C-23350AADE680}">
  <ds:schemaRefs/>
</ds:datastoreItem>
</file>

<file path=customXml/itemProps16.xml><?xml version="1.0" encoding="utf-8"?>
<ds:datastoreItem xmlns:ds="http://schemas.openxmlformats.org/officeDocument/2006/customXml" ds:itemID="{E39E4588-4607-4409-81DA-7F3796E7E76E}">
  <ds:schemaRefs/>
</ds:datastoreItem>
</file>

<file path=customXml/itemProps17.xml><?xml version="1.0" encoding="utf-8"?>
<ds:datastoreItem xmlns:ds="http://schemas.openxmlformats.org/officeDocument/2006/customXml" ds:itemID="{5BF0F12D-4FC6-4A17-93F4-9D4A86CFE411}">
  <ds:schemaRefs/>
</ds:datastoreItem>
</file>

<file path=customXml/itemProps18.xml><?xml version="1.0" encoding="utf-8"?>
<ds:datastoreItem xmlns:ds="http://schemas.openxmlformats.org/officeDocument/2006/customXml" ds:itemID="{29DA1C11-7075-4450-8BA4-98D1952C23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satisfation</vt:lpstr>
      <vt:lpstr>wait time</vt:lpstr>
      <vt:lpstr>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2025-12-15T07:41:11Z</dcterms:created>
  <dcterms:modified xsi:type="dcterms:W3CDTF">2025-12-17T09:51:20Z</dcterms:modified>
</cp:coreProperties>
</file>